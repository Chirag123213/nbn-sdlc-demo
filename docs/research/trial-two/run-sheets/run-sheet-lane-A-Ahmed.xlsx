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https://rmiteduau-my.sharepoint.com/personal/s4042149_student_rmit_edu_au/Documents/Microsoft Teams Chat Files/"/>
    </mc:Choice>
  </mc:AlternateContent>
  <xr:revisionPtr revIDLastSave="83" documentId="11_37C6D599AF5C2E3BDC421339D98A11C33022082D" xr6:coauthVersionLast="47" xr6:coauthVersionMax="47" xr10:uidLastSave="{F1CDFCBC-4BCF-6F49-8585-D77E9B863D46}"/>
  <bookViews>
    <workbookView xWindow="0" yWindow="660" windowWidth="30240" windowHeight="17420" tabRatio="500" activeTab="3" xr2:uid="{00000000-000D-0000-FFFF-FFFF00000000}"/>
  </bookViews>
  <sheets>
    <sheet name="How to use" sheetId="1" r:id="rId1"/>
    <sheet name="Steps" sheetId="2" r:id="rId2"/>
    <sheet name="Prompt 1" sheetId="3" r:id="rId3"/>
    <sheet name="Log" sheetId="4" r:id="rId4"/>
    <sheet name="Prompts sent" sheetId="5" r:id="rId5"/>
    <sheet name="Events" sheetId="6" r:id="rId6"/>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1" i="4" l="1"/>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J5" i="4" s="1"/>
  <c r="L19" i="4"/>
  <c r="K19" i="4"/>
  <c r="J19" i="4"/>
  <c r="J9" i="4"/>
  <c r="J8" i="4"/>
  <c r="J7" i="4"/>
  <c r="J6" i="4"/>
  <c r="B3" i="2"/>
  <c r="J10" i="4" l="1"/>
  <c r="J12" i="4" s="1"/>
  <c r="J11" i="4"/>
</calcChain>
</file>

<file path=xl/sharedStrings.xml><?xml version="1.0" encoding="utf-8"?>
<sst xmlns="http://schemas.openxmlformats.org/spreadsheetml/2006/main" count="203" uniqueCount="174">
  <si>
    <t>Trial two run sheet: Lane A: AI only (Ahmed, Codex)</t>
  </si>
  <si>
    <t>Everything for your build is in this file: the steps, prompt 1, your time log and every prompt you send. At the end it goes into your repo as run-log.xlsx.</t>
  </si>
  <si>
    <t>The tabs</t>
  </si>
  <si>
    <t>Steps: work down it in order and tick each step as you finish it.</t>
  </si>
  <si>
    <t>Prompt 1: your first message, ready to copy. It is the brief, one blank line, then the delivery rules, the same for all three builders.</t>
  </si>
  <si>
    <t>Log: your run details, your time log, and the totals and tokens, which add themselves up.</t>
  </si>
  <si>
    <t>Prompts sent: every message you send to the AI, numbered.</t>
  </si>
  <si>
    <t>Events: lane events, incidents and anything you did differently.</t>
  </si>
  <si>
    <t>How to tick</t>
  </si>
  <si>
    <t>When a step is done, pick ✓ in the Done column and type the time, such as 21:42. The row turns green.</t>
  </si>
  <si>
    <t>The Copy this column holds the exact command or prompt. Single-line cells copy cleanly. For prompt 1, see the Prompt 1 tab.</t>
  </si>
  <si>
    <t>On the Log tab, add a line every time what you're doing changes, and write it as it happens, not afterwards.</t>
  </si>
  <si>
    <t>Before you start</t>
  </si>
  <si>
    <t>Don't start until Zac has posted the start commit for your repo. He adds fixtures/technicians.json to every repo, and AGENTS.md to lane C's, before he posts it.</t>
  </si>
  <si>
    <t>Keep this file in Teams, or anywhere outside your repo folder, until the end, so the AI can't read it.</t>
  </si>
  <si>
    <t>The clock</t>
  </si>
  <si>
    <t>It starts when you send prompt 1 and stops when your PR is open with a green preview. Breaks stop it too, so log them.</t>
  </si>
  <si>
    <t>The estimate is 4 hours and the cap is 6. At 6 hours, open the PR as it is and note it on the Events tab.</t>
  </si>
  <si>
    <t>Rules for everyone</t>
  </si>
  <si>
    <t>No other AI at all: no Copilot, Claude or other chats, and AI suggestions in your editor turned off.</t>
  </si>
  <si>
    <t>Never paste a key into any AI chat, and keep key files out of the repo folder.</t>
  </si>
  <si>
    <t>Nobody gives anyone help with the code.</t>
  </si>
  <si>
    <t>Questions about the brief go to Ahmed, and his answer goes to all three. Questions about these rules go to Sidney. Repo or access problems go to Zac.</t>
  </si>
  <si>
    <t>Don't open the other builders' files, repos or chats, or Zac's PR #75, until Zac's review is done.</t>
  </si>
  <si>
    <t>What a finished row on the Steps tab looks like</t>
  </si>
  <si>
    <t>#</t>
  </si>
  <si>
    <t>What to do</t>
  </si>
  <si>
    <t>Copy this</t>
  </si>
  <si>
    <t>Done</t>
  </si>
  <si>
    <t>Time</t>
  </si>
  <si>
    <t>Notes</t>
  </si>
  <si>
    <t>Check you're on Zac's start commit, and write it on the Log tab. If it doesn't match, stop and tell Zac.</t>
  </si>
  <si>
    <t>git log --oneline -1</t>
  </si>
  <si>
    <t>✓</t>
  </si>
  <si>
    <t>Matched Zac's commit</t>
  </si>
  <si>
    <t>Drafted with Claude (claude.ai) on 17 Oct 2026 from the trial two protocol, Zac's rules of 16 Oct 2026 and his PR #75. Version 2, 17 Oct 2026: prompt 1 is the brief and the delivery rules in one message, ready to copy.</t>
  </si>
  <si>
    <t>Lane A: AI only (Ahmed, Codex)</t>
  </si>
  <si>
    <t>Codex does all of it: the code, tests, commits, PR, checklist and evidence. You don't read, test or fix its work.</t>
  </si>
  <si>
    <t>Setup, before the clock. Log this time as Setup on the Log tab. It doesn't count toward the build.</t>
  </si>
  <si>
    <t>Make a folder outside your repo for your screenshots.</t>
  </si>
  <si>
    <t>mkdir -p ~/trial-two-log/evidence</t>
  </si>
  <si>
    <t>Wait until Zac posts the start commit for your repo. He adds the technician file to every repo, and AGENTS.md to lane C's, before he posts it. Then clone your repo, or pull it if you cloned it earlier.</t>
  </si>
  <si>
    <t>git pull</t>
  </si>
  <si>
    <t>Check the technician data is there. It should show the file name. If it says No such file, stop and tell Zac.</t>
  </si>
  <si>
    <t>ls fixtures/technicians.json</t>
  </si>
  <si>
    <t>Check there's no AGENTS.md at the top of the repo. It should say No such file. If it shows the file, stop and tell Zac.</t>
  </si>
  <si>
    <t>ls AGENTS.md</t>
  </si>
  <si>
    <t>Check the leftover approval rules are gone. It should show nothing. If it shows a line, stop and tell Zac.</t>
  </si>
  <si>
    <t>grep -n "Build experiment" .github/copilot-instructions.md</t>
  </si>
  <si>
    <t>Turn off Copilot and every other AI suggestion in your editor.</t>
  </si>
  <si>
    <t>Create your own Firebase project and connect Vercel to your repo. Type the keys into the Firebase and Vercel dashboards yourself, and add your preview address to Firebase's authorised domains. Never paste a key into an AI chat.</t>
  </si>
  <si>
    <t>Ready check: open a small test PR, check the preview loads and a test user can sign in, and post the preview link to the team. Then close the test PR without merging it.</t>
  </si>
  <si>
    <t>Set Codex to GPT-5.6 Sol at high effort, with the same approval setting you used in trial one. Screenshot it into ~/trial-two-log/evidence/model-setting.png.</t>
  </si>
  <si>
    <t>Screenshot the Codex token usage into ~/trial-two-log/evidence/tokens-start.png, and copy the numbers into Tokens, Before, on the Log tab.</t>
  </si>
  <si>
    <t>Fill in Run details on the Log tab.</t>
  </si>
  <si>
    <t>Prompt 1. The clock starts when you send it.</t>
  </si>
  <si>
    <t>Get prompt 1 ready, but don't send it yet. Copy it from the Prompt 1 tab and paste it into a new message, unchanged.</t>
  </si>
  <si>
    <t>See the Prompt 1 tab</t>
  </si>
  <si>
    <t>Write the time on the Log tab and send prompt 1. This starts the clock. Write the time in row 1 of Prompts sent too, and add every message you send after this.</t>
  </si>
  <si>
    <t>The build: lane A rules</t>
  </si>
  <si>
    <t>While Codex works, log the time as Waiting. Don't read, test or fix its work. If it leaves something out, it stays out.</t>
  </si>
  <si>
    <t>Replies to send, word for word, whenever they apply (no tick). Add each to Prompts sent, and note it on the Events tab.</t>
  </si>
  <si>
    <t>Codex asks permission to do something: accept it, and note it on the Events tab.</t>
  </si>
  <si>
    <t>A request needs a key or password: refuse it, and reply with</t>
  </si>
  <si>
    <t>No. Do it without a key or password.</t>
  </si>
  <si>
    <t>Codex asks you a question: reply with</t>
  </si>
  <si>
    <t>Use the brief and decide yourself.</t>
  </si>
  <si>
    <t>Codex stops before the PR is open: reply with</t>
  </si>
  <si>
    <t>Continue until the pull request is open.</t>
  </si>
  <si>
    <t>A step needs a person, such as signing in to a website: do only that step, log it as Active, then reply with</t>
  </si>
  <si>
    <t>Done. Continue.</t>
  </si>
  <si>
    <t>End of the build</t>
  </si>
  <si>
    <t>When the PR is open and the preview is green, write the time on the Log tab. The clock stops.</t>
  </si>
  <si>
    <t>Finish, after the clock</t>
  </si>
  <si>
    <t>Screenshot the Codex token usage into ~/trial-two-log/evidence/tokens-end.png, and copy the numbers into Tokens, After, on the Log tab.</t>
  </si>
  <si>
    <t>Check the Totals on the Log tab. They add themselves up from your time log.</t>
  </si>
  <si>
    <t>If Codex pushed from the cloud, get its branch first.</t>
  </si>
  <si>
    <t>git fetch &amp;&amp; git checkout feature/technician-dispatch</t>
  </si>
  <si>
    <t>Download this workbook into ~/trial-two-log and name it run-log.xlsx.</t>
  </si>
  <si>
    <t>Copy your log folder into the repo.</t>
  </si>
  <si>
    <t>mkdir -p docs/research/technician-dispatch &amp;&amp; cp -R ~/trial-two-log/. docs/research/technician-dispatch/</t>
  </si>
  <si>
    <t>Commit and push your logs.</t>
  </si>
  <si>
    <t>git add docs/research/technician-dispatch &amp;&amp; git commit -m "docs: add trial two run log" &amp;&amp; git push</t>
  </si>
  <si>
    <t>Post your PR link to Sidney and Zac.</t>
  </si>
  <si>
    <t>Don't look at the other two builds, or at Zac's PR #75, until Zac's review is done.</t>
  </si>
  <si>
    <t>If something goes wrong (no tick)</t>
  </si>
  <si>
    <t>A repo check fails: stop before prompt 1 and tell Zac. Log it as Setup.</t>
  </si>
  <si>
    <t>A key ends up in an AI chat or a file: stop and tell Sidney straight away. Delete that key in the Firebase or Vercel dashboard and make a new one. Write it under Incidents on the Events tab.</t>
  </si>
  <si>
    <t>Your AI session crashes or you lose it: log the time, start a new session, send prompt 1 again, and write it under Incidents on the Events tab.</t>
  </si>
  <si>
    <t>You're not sure a step fits your lane: ask Sidney before you do it, and write his answer under Deviations on the Events tab.</t>
  </si>
  <si>
    <t>You reach 6 hours: open the PR as it is, and write that under Deviations on the Events tab.</t>
  </si>
  <si>
    <t>Prompt 1</t>
  </si>
  <si>
    <t>Your first message, word for word: the brief, one blank line, then the delivery rules. All three builders send the same text.</t>
  </si>
  <si>
    <t>To copy it, double-click the grey box, select all the text inside it (Cmd+A on a Mac, Ctrl+A on Windows) and copy. Don't copy the box from outside it, because Excel adds quote marks.</t>
  </si>
  <si>
    <t>Check your message starts with "# Trial Two - Technician Dispatch Acceptance Criteria" and ends with "or other secret." The brief is acceptance-criteria.md exactly as frozen in commit f43ca98, the same text as Zac's link.</t>
  </si>
  <si>
    <t># Trial Two - Technician Dispatch Acceptance Criteria
**Owner:** Ahmed Falulur Rahuman
**Planner card:** [PRD] - Trial two acceptance criteria, frozen : 240
**Feature:** Technician dispatch
**Status:** Frozen for Trial Two once this file is committed. After the freeze commit, the opening brief, numbered criteria and out-of-scope list are not changed for an individual build.
## Purpose
Trial Two uses technician dispatch as the larger feature. The three builds use different build methods, but they receive the same feature brief and the same acceptance criteria. The method assignment is kept outside this brief so that one build does not receive different product requirements from another.
The comparison is intended to show what happens when the same larger feature is built from the same starting point under the three Trial Two methods. The registered prediction and the detailed test protocol are separate PM work and are not defined here.
## Opening brief
Build a technician-dispatch feature in the provided Trial Two repository.
A retailer-side requester needs to raise a request for a technician at a customer premises. The feature must use the fault and job-access information in the request to identify a compatible technician and the equipment or access capability the job needs, then allow the visit to be scheduled.
The same brief and acceptance criteria are used unchanged for all three Trial Two builds. Implement only the behaviour below. Do not add features from the out-of-scope list as part of the trial.
## Frozen acceptance criteria
### Feature behaviour
1. **T2-AC01 - Create a dispatch request:** A requester can create a technician-dispatch request for a customer premises.
2. **T2-AC02 - Record the fault:** The request records the fault or problem that the technician is being requested to handle.
3. **T2-AC03 - Record access and equipment needs:** The request can record any access or equipment requirement that is relevant to matching the job.
4. **T2-AC04 - Match the technician to the fault:** A technician is treated as a valid match only when the technician is suitable for the recorded fault.
5. **T2-AC05 - Match the equipment to the job:** A technician and equipment combination is treated as valid only when it satisfies the recorded access or equipment requirements.
6. **T2-AC06 - Reject an invalid second-storey match:** A second-storey job is not accepted as a valid match when the technician does not have access to a ladder or elevated work platform.
7. **T2-AC07 - Accept a compatible second-storey match:** A second-storey job can proceed to scheduling when the technician is suitable for the fault and has the required ladder or elevated work platform capability.
8. **T2-AC08 - Reject an invalid pit-job match:** A pit job is not accepted as a valid match when the proposed technician and equipment do not satisfy the job's recorded pit-access requirement.
9. **T2-AC09 - Do not invent a compatible match:** If no technician and equipment combination satisfies the recorded job requirements, the feature does not present an incompatible combination as a valid match.
10. **T2-AC10 - Schedule a valid dispatch:** After a valid technician and equipment match is selected, the visit can be scheduled.
11. **T2-AC11 - Record the dispatch result:** A scheduled dispatch records the selected technician, the scheduled visit details and the equipment or access requirement used for the match.
12. **T2-AC12 - Show equipment requirements accessibly:** On the technician-matching screen, an equipment requirement is shown using text and an icon and is not communicated by colour alone.
13. **T2-AC13 - Keyboard access:** The technician-dispatch flow can be completed using keyboard controls without requiring pointer-only interaction.
14. **T2-AC14 - No colour-only information:** Information needed to understand the request, match or scheduled dispatch is not conveyed by colour alone.
### Trial evidence requirements
15. **T2-AC15 - Working preview:** The completed build has a preview URL in its pull request where T2-AC01 to T2-AC14 can be checked.
16. **T2-AC16 - Criterion results recorded:** The trial record states whether each of T2-AC01 to T2-AC14 passed or failed and points to the evidence used for that result.
17. **T2-AC17 - Run details recorded:** The trial record identifies the builder, repository and start commit, build method, tool and model where applicable, and the elapsed build time against the trial's four-hour estimate and six-hour cap.
## Out of scope
The following are not required for Trial Two unless the frozen brief is formally replaced before any build starts:
- calculating, paying or reporting the $25 rebate for a late fault rectification or missed appointment;
- treating the assumed missed-appointment business rule as verified NBN policy;
- retailer-notification and API-documentation workflows from Story B;
- production rollout, monitoring, incident response or production rebate reporting;
- real NBN, customer, retailer or technician data and integrations;
- route optimisation, travel-time optimisation or workforce optimisation beyond the technician/equipment compatibility check in the criteria above;
- post-scheduling functions such as rescheduling or cancelling a dispatch;
- technician workforce administration, such as creating or managing technician accounts, skills catalogues or equipment inventories.
## Decisions deliberately left outside the frozen feature criteria
The current research does not define a complete technician-skill taxonomy, fault taxonomy or pit-equipment catalogue. The test protocol may use neutral fixture values to exercise the frozen criteria, but those fixture values must be identical across all three builds and must not introduce new required feature behaviour.
The lifecycle research labels the committed appointment-window and missed-appointment rebate rule as an assumption to be verified. Trial Two therefore tests technician/equipment matching and visit scheduling without claiming that the rebate rule is confirmed NBN policy.
The registered prediction, lane-specific build instructions and the detailed test plan are separate Trial Two protocol work. They must not change the opening brief or acceptance criteria for only one build.
How to deliver this, for this trial:
1. Work on a branch called feature/technician-dispatch.
2. Use the technician data in fixtures/technicians.json.
3. Commit with conventional commit messages, such as "feat: add dispatch request form". Add a Co-authored-by trailer naming the AI tool and model to at least one commit.
4. Before opening the pull request, run these from the top of the repository:
   mkdir -p docs/research/technician-dispatch/evidence
   pnpm run test:all &gt; docs/research/technician-dispatch/evidence/test.txt 2&gt;&amp;1
   pnpm run typecheck &gt; docs/research/technician-dispatch/evidence/typecheck.txt 2&gt;&amp;1
   pnpm run lint &gt; docs/research/technician-dispatch/evidence/lint.txt 2&gt;&amp;1
   pnpm audit &gt; docs/research/technician-dispatch/evidence/audit.txt 2&gt;&amp;1
5. For each criterion you mark as passing, save a screenshot of it working as docs/research/technician-dispatch/evidence/T2-AC01.png, T2-AC02.png and so on.
6. Open a pull request with a conventional title. In the description, put the Vercel preview link once the preview has built, and a checklist of T2-AC01 to T2-AC14, each marked pass or fail with its evidence file. Tick "AI-assisted tools were used" in the template.
7. Don't build anything on the out-of-scope list, and never ask for a key, password or other secret.</t>
  </si>
  <si>
    <t>Run log: Lane A: AI only (Ahmed, Codex)</t>
  </si>
  <si>
    <t>Write each line as it happens, not afterwards. Melbourne time, 24-hour clock, such as 21:42.</t>
  </si>
  <si>
    <t>Run details</t>
  </si>
  <si>
    <t>Totals (they add themselves up)</t>
  </si>
  <si>
    <t>Builder</t>
  </si>
  <si>
    <t>Ahmed Falulur Rahuman</t>
  </si>
  <si>
    <t>Setup, not part of the build</t>
  </si>
  <si>
    <t>Lane</t>
  </si>
  <si>
    <t>A, AI only</t>
  </si>
  <si>
    <t>Active</t>
  </si>
  <si>
    <t>Repository</t>
  </si>
  <si>
    <t>Reviewing</t>
  </si>
  <si>
    <t>Feature branch</t>
  </si>
  <si>
    <t>feature/technician-dispatch</t>
  </si>
  <si>
    <t>Waiting</t>
  </si>
  <si>
    <t>Start commit</t>
  </si>
  <si>
    <t>Breaks</t>
  </si>
  <si>
    <t>Tool and surface (Codex CLI, IDE extension or cloud)</t>
  </si>
  <si>
    <t>Elapsed build time = Active + Reviewing + Waiting</t>
  </si>
  <si>
    <t>Model and effort</t>
  </si>
  <si>
    <t>GPT-5.6 Sol, high</t>
  </si>
  <si>
    <t>Active human minutes = Active + Reviewing</t>
  </si>
  <si>
    <t>Codex approval setting</t>
  </si>
  <si>
    <t>Within the 360-minute cap</t>
  </si>
  <si>
    <t>First prompt sent (date and time)</t>
  </si>
  <si>
    <t>Minutes. The estimate is 240 and the cap is 360.</t>
  </si>
  <si>
    <t>PR open with a green preview (date and time)</t>
  </si>
  <si>
    <t>Pull request</t>
  </si>
  <si>
    <t>Tokens</t>
  </si>
  <si>
    <t>Preview</t>
  </si>
  <si>
    <t>Reading</t>
  </si>
  <si>
    <t>Input</t>
  </si>
  <si>
    <t>Cached input</t>
  </si>
  <si>
    <t>Output</t>
  </si>
  <si>
    <t>Before prompt 1</t>
  </si>
  <si>
    <t>After the PR opens</t>
  </si>
  <si>
    <t>Used (after minus before)</t>
  </si>
  <si>
    <t>Time log. Add a line every time what you're doing changes. Setup: linking and the ready check. Active: prompting, pasting, running commands or typing. Reviewing: reading or checking the AI's work. Waiting: the AI works and you don't. Break: the clock is stopped.</t>
  </si>
  <si>
    <t>Date</t>
  </si>
  <si>
    <t>Start</t>
  </si>
  <si>
    <t>End</t>
  </si>
  <si>
    <t>Type</t>
  </si>
  <si>
    <t>What happened</t>
  </si>
  <si>
    <t>Minutes</t>
  </si>
  <si>
    <t>Setup</t>
  </si>
  <si>
    <t>Firebase project and Vercel linking</t>
  </si>
  <si>
    <t>Ready check: test PR, preview loads, test user signs in</t>
  </si>
  <si>
    <t>Prompt 1 sent: the brief and the delivery rules</t>
  </si>
  <si>
    <t>Prompts sent</t>
  </si>
  <si>
    <t>Every message you send to the AI, numbered, in order. Paste the exact text, and double-click the cell before you paste, or text with several lines spreads over several rows. For the reply, a short note or a link to the chat export is enough.</t>
  </si>
  <si>
    <t>What it is</t>
  </si>
  <si>
    <t>Exact text sent</t>
  </si>
  <si>
    <t>Reply, or link to the chat export</t>
  </si>
  <si>
    <t>Prompt 1: the brief and the delivery rules</t>
  </si>
  <si>
    <t>Events</t>
  </si>
  <si>
    <t>Lane events</t>
  </si>
  <si>
    <t>Every permission request, and whether you accepted it or refused it because it needed a key or password. Every question you answered with "Use the brief and decide yourself".</t>
  </si>
  <si>
    <t>Event</t>
  </si>
  <si>
    <t>Detail</t>
  </si>
  <si>
    <t>Incidents</t>
  </si>
  <si>
    <t>Anything that went wrong outside the code, such as a key shown to an AI, a deploy that skipped a change, or a tool outage. Write None if there were none.</t>
  </si>
  <si>
    <t>What you did</t>
  </si>
  <si>
    <t>Deviations</t>
  </si>
  <si>
    <t>Anything you did differently from the run sheet, and why. Write None if there were none.</t>
  </si>
  <si>
    <t>What you did differently</t>
  </si>
  <si>
    <t>Why</t>
  </si>
  <si>
    <t>17/10/2026</t>
  </si>
  <si>
    <t>9ahmedfr/nbn-run2-ai-only</t>
  </si>
  <si>
    <t>ccfb2ca8bc54c2d01ab52037977221d149692a2a</t>
  </si>
  <si>
    <t>Approve for me</t>
  </si>
  <si>
    <t>Codex IDE extension, VS Code — Session: 01a149e8-fc7a-7690-bddb-6219226f0396</t>
  </si>
  <si>
    <t>17/10/2026 - 23:52</t>
  </si>
  <si>
    <t>https://github.com/9ahmedfr/nbn-run2-ai-only/pull/10</t>
  </si>
  <si>
    <t>https://nbn-run2-ai-only-git-featur-2d4761-ahmedfrahuman-9613s-projects.vercel.app/dispatch</t>
  </si>
  <si>
    <t>https://chatgpt.com/s/cx_6ad373e9ff3081918ccab6cf24c93d68</t>
  </si>
  <si>
    <t>PR #9 preview loaded; test-user sign-in passed; PR closed without merging.</t>
  </si>
  <si>
    <t>https://nbn-run2-ai-only-git-codex-726b00-ahmedfrahuman-9613s-projects.vercel.app/</t>
  </si>
  <si>
    <t>18/10/2026 - 00:06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</si>
</sst>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h:mm"/>
    <numFmt numFmtId="165" formatCode="dd\ mmm"/>
  </numFmts>
  <fonts count="11" x14ac:knownFonts="1">
    <font>
      <sz val="11"/>
      <color theme="1"/>
      <name val="Calibri"/>
      <family val="2"/>
      <charset val="1"/>
    </font>
    <font>
      <b/>
      <sz val="14"/>
      <name val="Arial"/>
      <family val="2"/>
    </font>
    <font>
      <i/>
      <sz val="10"/>
      <color rgb="FF404040"/>
      <name val="Arial"/>
      <family val="2"/>
    </font>
    <font>
      <b/>
      <sz val="10"/>
      <name val="Arial"/>
      <family val="2"/>
    </font>
    <font>
      <sz val="10"/>
      <name val="Arial"/>
      <family val="2"/>
    </font>
    <font>
      <sz val="10"/>
      <name val="Courier New"/>
      <family val="1"/>
    </font>
    <font>
      <b/>
      <sz val="10"/>
      <color rgb="FFFFFFFF"/>
      <name val="Arial"/>
      <family val="2"/>
    </font>
    <font>
      <i/>
      <sz val="10"/>
      <name val="Arial"/>
      <family val="2"/>
    </font>
    <font>
      <sz val="10"/>
      <color rgb="FF404040"/>
      <name val="Arial"/>
      <family val="2"/>
    </font>
    <font>
      <sz val="10"/>
      <color rgb="FF0000FF"/>
      <name val="Arial"/>
      <family val="2"/>
    </font>
    <font>
      <u/>
      <sz val="11"/>
      <color theme="10"/>
      <name val="Calibri"/>
      <family val="2"/>
      <charset val="1"/>
    </font>
  </fonts>
  <fills count="7">
    <fill>
      <patternFill patternType="none"/>
    </fill>
    <fill>
      <patternFill patternType="gray125"/>
    </fill>
    <fill>
      <patternFill patternType="solid">
        <fgColor rgb="FFD9D9D9"/>
        <bgColor rgb="FFC6EFCE"/>
      </patternFill>
    </fill>
    <fill>
      <patternFill patternType="solid">
        <fgColor rgb="FFC6EFCE"/>
        <bgColor rgb="FFD9D9D9"/>
      </patternFill>
    </fill>
    <fill>
      <patternFill patternType="solid">
        <fgColor rgb="FF44546A"/>
        <bgColor rgb="FF404040"/>
      </patternFill>
    </fill>
    <fill>
      <patternFill patternType="solid">
        <fgColor rgb="FFF2F2F2"/>
        <bgColor rgb="FFFFFFFF"/>
      </patternFill>
    </fill>
    <fill>
      <patternFill patternType="solid">
        <fgColor rgb="FFFFF2CC"/>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0" fillId="0" borderId="0" applyNumberFormat="0" applyFill="0" applyBorder="0" applyAlignment="0" applyProtection="0"/>
  </cellStyleXfs>
  <cellXfs count="40">
    <xf numFmtId="0" fontId="0" fillId="0" borderId="0" xfId="0"/>
    <xf numFmtId="0" fontId="9" fillId="6" borderId="1" xfId="0" applyFont="1" applyFill="1" applyBorder="1" applyAlignment="1">
      <alignment vertical="top" wrapText="1"/>
    </xf>
    <xf numFmtId="0" fontId="4" fillId="0" borderId="1" xfId="0" applyFont="1" applyBorder="1" applyAlignment="1">
      <alignment vertical="top" wrapText="1"/>
    </xf>
    <xf numFmtId="0" fontId="5" fillId="5" borderId="1" xfId="0" applyFont="1" applyFill="1" applyBorder="1" applyAlignment="1">
      <alignment vertical="top" wrapText="1"/>
    </xf>
    <xf numFmtId="0" fontId="1" fillId="0" borderId="0" xfId="0" applyFont="1"/>
    <xf numFmtId="0" fontId="2" fillId="0" borderId="0" xfId="0" applyFont="1"/>
    <xf numFmtId="0" fontId="3" fillId="0" borderId="0" xfId="0" applyFont="1"/>
    <xf numFmtId="0" fontId="4" fillId="0" borderId="0" xfId="0" applyFont="1"/>
    <xf numFmtId="0" fontId="3" fillId="2"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164" fontId="4" fillId="3" borderId="1" xfId="0" applyNumberFormat="1" applyFont="1" applyFill="1" applyBorder="1" applyAlignment="1">
      <alignment horizontal="center" vertical="top" wrapText="1"/>
    </xf>
    <xf numFmtId="0" fontId="4" fillId="0" borderId="1" xfId="0" applyFont="1" applyBorder="1" applyAlignment="1">
      <alignment horizontal="center" vertical="top" wrapText="1"/>
    </xf>
    <xf numFmtId="0" fontId="4" fillId="6" borderId="1" xfId="0" applyFont="1" applyFill="1" applyBorder="1" applyAlignment="1">
      <alignment horizontal="center" vertical="top" wrapText="1"/>
    </xf>
    <xf numFmtId="164" fontId="4" fillId="6" borderId="1" xfId="0" applyNumberFormat="1" applyFont="1" applyFill="1" applyBorder="1" applyAlignment="1">
      <alignment horizontal="center" vertical="top" wrapText="1"/>
    </xf>
    <xf numFmtId="0" fontId="4" fillId="6" borderId="1" xfId="0" applyFont="1" applyFill="1" applyBorder="1" applyAlignment="1">
      <alignment vertical="top" wrapText="1"/>
    </xf>
    <xf numFmtId="0" fontId="0" fillId="0" borderId="1" xfId="0" applyBorder="1" applyAlignment="1">
      <alignment vertical="top" wrapText="1"/>
    </xf>
    <xf numFmtId="0" fontId="7" fillId="5" borderId="1" xfId="0" applyFont="1" applyFill="1" applyBorder="1" applyAlignment="1">
      <alignment vertical="top" wrapText="1"/>
    </xf>
    <xf numFmtId="0" fontId="0" fillId="0" borderId="1" xfId="0" applyBorder="1"/>
    <xf numFmtId="0" fontId="8" fillId="0" borderId="1" xfId="0" applyFont="1" applyBorder="1" applyAlignment="1">
      <alignment vertical="top" wrapText="1"/>
    </xf>
    <xf numFmtId="1" fontId="4" fillId="0" borderId="1" xfId="0" applyNumberFormat="1" applyFont="1" applyBorder="1" applyAlignment="1">
      <alignment horizontal="center" vertical="top"/>
    </xf>
    <xf numFmtId="1" fontId="3" fillId="0" borderId="1" xfId="0" applyNumberFormat="1" applyFont="1" applyBorder="1" applyAlignment="1">
      <alignment horizontal="center" vertical="top"/>
    </xf>
    <xf numFmtId="0" fontId="3" fillId="2" borderId="1" xfId="0" applyFont="1" applyFill="1" applyBorder="1"/>
    <xf numFmtId="0" fontId="4" fillId="0" borderId="1" xfId="0" applyFont="1" applyBorder="1"/>
    <xf numFmtId="3" fontId="9" fillId="6" borderId="1" xfId="0" applyNumberFormat="1" applyFont="1" applyFill="1" applyBorder="1"/>
    <xf numFmtId="3" fontId="3" fillId="0" borderId="1" xfId="0" applyNumberFormat="1" applyFont="1" applyBorder="1"/>
    <xf numFmtId="165" fontId="9" fillId="6" borderId="1" xfId="0" applyNumberFormat="1" applyFont="1" applyFill="1" applyBorder="1"/>
    <xf numFmtId="164" fontId="9" fillId="6" borderId="1" xfId="0" applyNumberFormat="1" applyFont="1" applyFill="1" applyBorder="1"/>
    <xf numFmtId="0" fontId="9" fillId="6" borderId="1" xfId="0" applyFont="1" applyFill="1" applyBorder="1"/>
    <xf numFmtId="0" fontId="4" fillId="0" borderId="1" xfId="0" applyFont="1" applyBorder="1" applyAlignment="1">
      <alignment horizontal="center" vertical="top"/>
    </xf>
    <xf numFmtId="164" fontId="9" fillId="6" borderId="1" xfId="0" applyNumberFormat="1" applyFont="1" applyFill="1" applyBorder="1" applyAlignment="1">
      <alignment vertical="top" wrapText="1"/>
    </xf>
    <xf numFmtId="0" fontId="10" fillId="0" borderId="0" xfId="1"/>
    <xf numFmtId="0" fontId="10" fillId="6" borderId="1" xfId="1" applyFill="1" applyBorder="1" applyAlignment="1">
      <alignment vertical="top" wrapText="1"/>
    </xf>
    <xf numFmtId="0" fontId="6" fillId="4" borderId="0" xfId="0" applyFont="1" applyFill="1" applyAlignment="1">
      <alignment vertical="center" wrapText="1"/>
    </xf>
    <xf numFmtId="0" fontId="5" fillId="5" borderId="1" xfId="0" applyFont="1" applyFill="1" applyBorder="1" applyAlignment="1">
      <alignment vertical="top" wrapText="1"/>
    </xf>
    <xf numFmtId="0" fontId="4" fillId="0" borderId="1" xfId="0" applyFont="1" applyBorder="1" applyAlignment="1">
      <alignment vertical="top" wrapText="1"/>
    </xf>
    <xf numFmtId="0" fontId="9" fillId="6" borderId="1" xfId="0" applyFont="1" applyFill="1" applyBorder="1" applyAlignment="1">
      <alignment vertical="top" wrapText="1"/>
    </xf>
    <xf numFmtId="20" fontId="9" fillId="6" borderId="1" xfId="0" applyNumberFormat="1" applyFont="1" applyFill="1" applyBorder="1" applyAlignment="1">
      <alignment vertical="top" wrapText="1"/>
    </xf>
    <xf numFmtId="0" fontId="10" fillId="6" borderId="1" xfId="1" applyFill="1" applyBorder="1" applyAlignment="1">
      <alignment vertical="top" wrapText="1"/>
    </xf>
  </cellXfs>
  <cellStyles count="2">
    <cellStyle name="Hyperlink" xfId="1" builtinId="8"/>
    <cellStyle name="Normal" xfId="0" builtinId="0"/>
  </cellStyles>
  <dxfs count="1">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nbn-run2-ai-only-git-codex-726b00-ahmedfrahuman-9613s-projects.vercel.app/"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nbn-run2-ai-only-git-featur-2d4761-ahmedfrahuman-9613s-projects.vercel.app/dispatch" TargetMode="External"/><Relationship Id="rId1" Type="http://schemas.openxmlformats.org/officeDocument/2006/relationships/hyperlink" Target="https://github.com/9ahmedfr/nbn-run2-ai-only/pull/1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hatgpt.com/s/cx_6ad373e9ff3081918ccab6cf24c93d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5"/>
  <sheetViews>
    <sheetView topLeftCell="A11" zoomScaleNormal="100" workbookViewId="0">
      <selection activeCell="C21" sqref="C21"/>
    </sheetView>
  </sheetViews>
  <sheetFormatPr baseColWidth="10" defaultColWidth="8.6640625" defaultRowHeight="15" x14ac:dyDescent="0.2"/>
  <cols>
    <col min="1" max="1" width="5" customWidth="1"/>
    <col min="2" max="2" width="56" customWidth="1"/>
    <col min="3" max="3" width="34" customWidth="1"/>
    <col min="4" max="4" width="8" customWidth="1"/>
    <col min="5" max="5" width="9" customWidth="1"/>
    <col min="6" max="6" width="22" customWidth="1"/>
  </cols>
  <sheetData>
    <row r="1" spans="1:1" ht="18" x14ac:dyDescent="0.2">
      <c r="A1" s="4" t="s">
        <v>0</v>
      </c>
    </row>
    <row r="2" spans="1:1" x14ac:dyDescent="0.2">
      <c r="A2" s="5" t="s">
        <v>1</v>
      </c>
    </row>
    <row r="4" spans="1:1" x14ac:dyDescent="0.2">
      <c r="A4" s="6" t="s">
        <v>2</v>
      </c>
    </row>
    <row r="5" spans="1:1" x14ac:dyDescent="0.2">
      <c r="A5" s="7" t="s">
        <v>3</v>
      </c>
    </row>
    <row r="6" spans="1:1" x14ac:dyDescent="0.2">
      <c r="A6" s="7" t="s">
        <v>4</v>
      </c>
    </row>
    <row r="7" spans="1:1" x14ac:dyDescent="0.2">
      <c r="A7" s="7" t="s">
        <v>5</v>
      </c>
    </row>
    <row r="8" spans="1:1" x14ac:dyDescent="0.2">
      <c r="A8" s="7" t="s">
        <v>6</v>
      </c>
    </row>
    <row r="9" spans="1:1" x14ac:dyDescent="0.2">
      <c r="A9" s="7" t="s">
        <v>7</v>
      </c>
    </row>
    <row r="11" spans="1:1" x14ac:dyDescent="0.2">
      <c r="A11" s="6" t="s">
        <v>8</v>
      </c>
    </row>
    <row r="12" spans="1:1" x14ac:dyDescent="0.2">
      <c r="A12" s="7" t="s">
        <v>9</v>
      </c>
    </row>
    <row r="13" spans="1:1" x14ac:dyDescent="0.2">
      <c r="A13" s="7" t="s">
        <v>10</v>
      </c>
    </row>
    <row r="14" spans="1:1" x14ac:dyDescent="0.2">
      <c r="A14" s="7" t="s">
        <v>11</v>
      </c>
    </row>
    <row r="16" spans="1:1" x14ac:dyDescent="0.2">
      <c r="A16" s="6" t="s">
        <v>12</v>
      </c>
    </row>
    <row r="17" spans="1:6" x14ac:dyDescent="0.2">
      <c r="A17" s="7" t="s">
        <v>13</v>
      </c>
    </row>
    <row r="18" spans="1:6" x14ac:dyDescent="0.2">
      <c r="A18" s="7" t="s">
        <v>14</v>
      </c>
    </row>
    <row r="20" spans="1:6" x14ac:dyDescent="0.2">
      <c r="A20" s="6" t="s">
        <v>15</v>
      </c>
    </row>
    <row r="21" spans="1:6" x14ac:dyDescent="0.2">
      <c r="A21" s="7" t="s">
        <v>16</v>
      </c>
    </row>
    <row r="22" spans="1:6" x14ac:dyDescent="0.2">
      <c r="A22" s="7" t="s">
        <v>17</v>
      </c>
    </row>
    <row r="24" spans="1:6" x14ac:dyDescent="0.2">
      <c r="A24" s="6" t="s">
        <v>18</v>
      </c>
    </row>
    <row r="25" spans="1:6" x14ac:dyDescent="0.2">
      <c r="A25" s="7" t="s">
        <v>19</v>
      </c>
    </row>
    <row r="26" spans="1:6" x14ac:dyDescent="0.2">
      <c r="A26" s="7" t="s">
        <v>20</v>
      </c>
    </row>
    <row r="27" spans="1:6" x14ac:dyDescent="0.2">
      <c r="A27" s="7" t="s">
        <v>21</v>
      </c>
    </row>
    <row r="28" spans="1:6" x14ac:dyDescent="0.2">
      <c r="A28" s="7" t="s">
        <v>22</v>
      </c>
    </row>
    <row r="29" spans="1:6" x14ac:dyDescent="0.2">
      <c r="A29" s="7" t="s">
        <v>23</v>
      </c>
    </row>
    <row r="31" spans="1:6" x14ac:dyDescent="0.2">
      <c r="A31" s="6" t="s">
        <v>24</v>
      </c>
    </row>
    <row r="32" spans="1:6" x14ac:dyDescent="0.2">
      <c r="A32" s="8" t="s">
        <v>25</v>
      </c>
      <c r="B32" s="8" t="s">
        <v>26</v>
      </c>
      <c r="C32" s="8" t="s">
        <v>27</v>
      </c>
      <c r="D32" s="8" t="s">
        <v>28</v>
      </c>
      <c r="E32" s="8" t="s">
        <v>29</v>
      </c>
      <c r="F32" s="8" t="s">
        <v>30</v>
      </c>
    </row>
    <row r="33" spans="1:6" ht="28" x14ac:dyDescent="0.2">
      <c r="A33" s="9">
        <v>3</v>
      </c>
      <c r="B33" s="10" t="s">
        <v>31</v>
      </c>
      <c r="C33" s="11" t="s">
        <v>32</v>
      </c>
      <c r="D33" s="9" t="s">
        <v>33</v>
      </c>
      <c r="E33" s="12">
        <v>0.90416666666666701</v>
      </c>
      <c r="F33" s="10" t="s">
        <v>34</v>
      </c>
    </row>
    <row r="35" spans="1:6" x14ac:dyDescent="0.2">
      <c r="A35" s="5" t="s">
        <v>35</v>
      </c>
    </row>
  </sheetData>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46"/>
  <sheetViews>
    <sheetView zoomScaleNormal="100" workbookViewId="0">
      <pane ySplit="5" topLeftCell="A8" activePane="bottomLeft" state="frozen"/>
      <selection pane="bottomLeft" activeCell="H21" sqref="H21"/>
    </sheetView>
  </sheetViews>
  <sheetFormatPr baseColWidth="10" defaultColWidth="8.6640625" defaultRowHeight="15" x14ac:dyDescent="0.2"/>
  <cols>
    <col min="1" max="1" width="5" customWidth="1"/>
    <col min="2" max="2" width="62" customWidth="1"/>
    <col min="3" max="3" width="64" customWidth="1"/>
    <col min="4" max="4" width="8" customWidth="1"/>
    <col min="5" max="5" width="9" customWidth="1"/>
    <col min="6" max="6" width="26" customWidth="1"/>
  </cols>
  <sheetData>
    <row r="1" spans="1:7" ht="18" x14ac:dyDescent="0.2">
      <c r="A1" s="4" t="s">
        <v>36</v>
      </c>
    </row>
    <row r="2" spans="1:7" x14ac:dyDescent="0.2">
      <c r="A2" s="5" t="s">
        <v>37</v>
      </c>
    </row>
    <row r="3" spans="1:7" x14ac:dyDescent="0.2">
      <c r="B3" s="6" t="str">
        <f>"Progress: "&amp;COUNTIF(D6:D120,"✓")&amp;" of "&amp;COUNT(A6:A120)&amp;" steps done"</f>
        <v>Progress: 9 of 24 steps done</v>
      </c>
    </row>
    <row r="5" spans="1:7" x14ac:dyDescent="0.2">
      <c r="A5" s="8" t="s">
        <v>25</v>
      </c>
      <c r="B5" s="8" t="s">
        <v>26</v>
      </c>
      <c r="C5" s="8" t="s">
        <v>27</v>
      </c>
      <c r="D5" s="8" t="s">
        <v>28</v>
      </c>
      <c r="E5" s="8" t="s">
        <v>29</v>
      </c>
      <c r="F5" s="8" t="s">
        <v>30</v>
      </c>
    </row>
    <row r="6" spans="1:7" ht="15" customHeight="1" x14ac:dyDescent="0.2">
      <c r="A6" s="34" t="s">
        <v>38</v>
      </c>
      <c r="B6" s="34"/>
      <c r="C6" s="34"/>
      <c r="D6" s="34"/>
      <c r="E6" s="34"/>
      <c r="F6" s="34"/>
    </row>
    <row r="7" spans="1:7" x14ac:dyDescent="0.2">
      <c r="A7" s="13">
        <v>1</v>
      </c>
      <c r="B7" s="2" t="s">
        <v>39</v>
      </c>
      <c r="C7" s="3" t="s">
        <v>40</v>
      </c>
      <c r="D7" s="14" t="s">
        <v>33</v>
      </c>
      <c r="E7" s="15"/>
      <c r="F7" s="16"/>
    </row>
    <row r="8" spans="1:7" ht="42" x14ac:dyDescent="0.2">
      <c r="A8" s="13">
        <v>2</v>
      </c>
      <c r="B8" s="2" t="s">
        <v>41</v>
      </c>
      <c r="C8" s="3" t="s">
        <v>42</v>
      </c>
      <c r="D8" s="14" t="s">
        <v>33</v>
      </c>
      <c r="E8" s="15"/>
      <c r="F8" s="16"/>
    </row>
    <row r="9" spans="1:7" ht="28" x14ac:dyDescent="0.2">
      <c r="A9" s="13">
        <v>3</v>
      </c>
      <c r="B9" s="2" t="s">
        <v>31</v>
      </c>
      <c r="C9" s="3" t="s">
        <v>32</v>
      </c>
      <c r="D9" s="14" t="s">
        <v>33</v>
      </c>
      <c r="E9" s="15"/>
      <c r="F9" s="16"/>
    </row>
    <row r="10" spans="1:7" ht="28" x14ac:dyDescent="0.2">
      <c r="A10" s="13">
        <v>4</v>
      </c>
      <c r="B10" s="2" t="s">
        <v>43</v>
      </c>
      <c r="C10" s="3" t="s">
        <v>44</v>
      </c>
      <c r="D10" s="14" t="s">
        <v>33</v>
      </c>
      <c r="E10" s="15"/>
      <c r="F10" s="16"/>
    </row>
    <row r="11" spans="1:7" ht="28" x14ac:dyDescent="0.2">
      <c r="A11" s="13">
        <v>5</v>
      </c>
      <c r="B11" s="2" t="s">
        <v>45</v>
      </c>
      <c r="C11" s="3" t="s">
        <v>46</v>
      </c>
      <c r="D11" s="14" t="s">
        <v>33</v>
      </c>
      <c r="E11" s="15"/>
      <c r="F11" s="16"/>
    </row>
    <row r="12" spans="1:7" ht="28" x14ac:dyDescent="0.2">
      <c r="A12" s="13">
        <v>6</v>
      </c>
      <c r="B12" s="2" t="s">
        <v>47</v>
      </c>
      <c r="C12" s="3" t="s">
        <v>48</v>
      </c>
      <c r="D12" s="14" t="s">
        <v>33</v>
      </c>
      <c r="E12" s="15"/>
      <c r="F12" s="16"/>
    </row>
    <row r="13" spans="1:7" x14ac:dyDescent="0.2">
      <c r="A13" s="13">
        <v>7</v>
      </c>
      <c r="B13" s="2" t="s">
        <v>49</v>
      </c>
      <c r="C13" s="17"/>
      <c r="D13" s="14" t="s">
        <v>33</v>
      </c>
      <c r="E13" s="15"/>
      <c r="F13" s="16"/>
    </row>
    <row r="14" spans="1:7" ht="56" x14ac:dyDescent="0.2">
      <c r="A14" s="13">
        <v>8</v>
      </c>
      <c r="B14" s="2" t="s">
        <v>50</v>
      </c>
      <c r="C14" s="17"/>
      <c r="D14" s="14" t="s">
        <v>33</v>
      </c>
      <c r="E14" s="15"/>
      <c r="F14" s="16"/>
    </row>
    <row r="15" spans="1:7" ht="42" x14ac:dyDescent="0.2">
      <c r="A15" s="13">
        <v>9</v>
      </c>
      <c r="B15" s="2" t="s">
        <v>51</v>
      </c>
      <c r="C15" s="17"/>
      <c r="D15" s="14" t="s">
        <v>33</v>
      </c>
      <c r="E15" s="15">
        <v>0.97222222222222221</v>
      </c>
      <c r="F15" s="16" t="s">
        <v>171</v>
      </c>
      <c r="G15" s="32" t="s">
        <v>172</v>
      </c>
    </row>
    <row r="16" spans="1:7" ht="42" x14ac:dyDescent="0.2">
      <c r="A16" s="13">
        <v>10</v>
      </c>
      <c r="B16" s="2" t="s">
        <v>52</v>
      </c>
      <c r="C16" s="17"/>
      <c r="D16" s="14"/>
      <c r="E16" s="15"/>
      <c r="F16" s="16"/>
    </row>
    <row r="17" spans="1:6" ht="28" x14ac:dyDescent="0.2">
      <c r="A17" s="13">
        <v>11</v>
      </c>
      <c r="B17" s="2" t="s">
        <v>53</v>
      </c>
      <c r="C17" s="17"/>
      <c r="D17" s="14"/>
      <c r="E17" s="15"/>
      <c r="F17" s="16"/>
    </row>
    <row r="18" spans="1:6" x14ac:dyDescent="0.2">
      <c r="A18" s="13">
        <v>12</v>
      </c>
      <c r="B18" s="2" t="s">
        <v>54</v>
      </c>
      <c r="C18" s="17"/>
      <c r="D18" s="14"/>
      <c r="E18" s="15"/>
      <c r="F18" s="16"/>
    </row>
    <row r="19" spans="1:6" ht="15" customHeight="1" x14ac:dyDescent="0.2">
      <c r="A19" s="34" t="s">
        <v>55</v>
      </c>
      <c r="B19" s="34"/>
      <c r="C19" s="34"/>
      <c r="D19" s="34"/>
      <c r="E19" s="34"/>
      <c r="F19" s="34"/>
    </row>
    <row r="20" spans="1:6" ht="28" x14ac:dyDescent="0.2">
      <c r="A20" s="13">
        <v>13</v>
      </c>
      <c r="B20" s="2" t="s">
        <v>56</v>
      </c>
      <c r="C20" s="18" t="s">
        <v>57</v>
      </c>
      <c r="D20" s="14"/>
      <c r="E20" s="15"/>
      <c r="F20" s="16"/>
    </row>
    <row r="21" spans="1:6" ht="42" x14ac:dyDescent="0.2">
      <c r="A21" s="13">
        <v>14</v>
      </c>
      <c r="B21" s="2" t="s">
        <v>58</v>
      </c>
      <c r="C21" s="17"/>
      <c r="D21" s="14"/>
      <c r="E21" s="15"/>
      <c r="F21" s="16"/>
    </row>
    <row r="22" spans="1:6" ht="15" customHeight="1" x14ac:dyDescent="0.2">
      <c r="A22" s="34" t="s">
        <v>59</v>
      </c>
      <c r="B22" s="34"/>
      <c r="C22" s="34"/>
      <c r="D22" s="34"/>
      <c r="E22" s="34"/>
      <c r="F22" s="34"/>
    </row>
    <row r="23" spans="1:6" ht="28" x14ac:dyDescent="0.2">
      <c r="A23" s="13">
        <v>15</v>
      </c>
      <c r="B23" s="2" t="s">
        <v>60</v>
      </c>
      <c r="C23" s="17"/>
      <c r="D23" s="14"/>
      <c r="E23" s="15"/>
      <c r="F23" s="16"/>
    </row>
    <row r="24" spans="1:6" ht="15" customHeight="1" x14ac:dyDescent="0.2">
      <c r="A24" s="34" t="s">
        <v>61</v>
      </c>
      <c r="B24" s="34"/>
      <c r="C24" s="34"/>
      <c r="D24" s="34"/>
      <c r="E24" s="34"/>
      <c r="F24" s="34"/>
    </row>
    <row r="25" spans="1:6" ht="28" x14ac:dyDescent="0.2">
      <c r="A25" s="19"/>
      <c r="B25" s="20" t="s">
        <v>62</v>
      </c>
      <c r="C25" s="17"/>
      <c r="D25" s="19"/>
      <c r="E25" s="19"/>
      <c r="F25" s="19"/>
    </row>
    <row r="26" spans="1:6" x14ac:dyDescent="0.2">
      <c r="A26" s="19"/>
      <c r="B26" s="2" t="s">
        <v>63</v>
      </c>
      <c r="C26" s="3" t="s">
        <v>64</v>
      </c>
      <c r="D26" s="19"/>
      <c r="E26" s="19"/>
      <c r="F26" s="19"/>
    </row>
    <row r="27" spans="1:6" x14ac:dyDescent="0.2">
      <c r="A27" s="19"/>
      <c r="B27" s="2" t="s">
        <v>65</v>
      </c>
      <c r="C27" s="3" t="s">
        <v>66</v>
      </c>
      <c r="D27" s="19"/>
      <c r="E27" s="19"/>
      <c r="F27" s="19"/>
    </row>
    <row r="28" spans="1:6" x14ac:dyDescent="0.2">
      <c r="A28" s="19"/>
      <c r="B28" s="2" t="s">
        <v>67</v>
      </c>
      <c r="C28" s="3" t="s">
        <v>68</v>
      </c>
      <c r="D28" s="19"/>
      <c r="E28" s="19"/>
      <c r="F28" s="19"/>
    </row>
    <row r="29" spans="1:6" ht="28" x14ac:dyDescent="0.2">
      <c r="A29" s="19"/>
      <c r="B29" s="2" t="s">
        <v>69</v>
      </c>
      <c r="C29" s="3" t="s">
        <v>70</v>
      </c>
      <c r="D29" s="19"/>
      <c r="E29" s="19"/>
      <c r="F29" s="19"/>
    </row>
    <row r="30" spans="1:6" ht="15" customHeight="1" x14ac:dyDescent="0.2">
      <c r="A30" s="34" t="s">
        <v>71</v>
      </c>
      <c r="B30" s="34"/>
      <c r="C30" s="34"/>
      <c r="D30" s="34"/>
      <c r="E30" s="34"/>
      <c r="F30" s="34"/>
    </row>
    <row r="31" spans="1:6" ht="28" x14ac:dyDescent="0.2">
      <c r="A31" s="13">
        <v>16</v>
      </c>
      <c r="B31" s="2" t="s">
        <v>72</v>
      </c>
      <c r="C31" s="17"/>
      <c r="D31" s="14"/>
      <c r="E31" s="15"/>
      <c r="F31" s="16"/>
    </row>
    <row r="32" spans="1:6" ht="15" customHeight="1" x14ac:dyDescent="0.2">
      <c r="A32" s="34" t="s">
        <v>73</v>
      </c>
      <c r="B32" s="34"/>
      <c r="C32" s="34"/>
      <c r="D32" s="34"/>
      <c r="E32" s="34"/>
      <c r="F32" s="34"/>
    </row>
    <row r="33" spans="1:6" ht="28" x14ac:dyDescent="0.2">
      <c r="A33" s="13">
        <v>17</v>
      </c>
      <c r="B33" s="2" t="s">
        <v>74</v>
      </c>
      <c r="C33" s="17"/>
      <c r="D33" s="14"/>
      <c r="E33" s="15"/>
      <c r="F33" s="16"/>
    </row>
    <row r="34" spans="1:6" ht="28" x14ac:dyDescent="0.2">
      <c r="A34" s="13">
        <v>18</v>
      </c>
      <c r="B34" s="2" t="s">
        <v>75</v>
      </c>
      <c r="C34" s="17"/>
      <c r="D34" s="14"/>
      <c r="E34" s="15"/>
      <c r="F34" s="16"/>
    </row>
    <row r="35" spans="1:6" x14ac:dyDescent="0.2">
      <c r="A35" s="13">
        <v>19</v>
      </c>
      <c r="B35" s="2" t="s">
        <v>76</v>
      </c>
      <c r="C35" s="3" t="s">
        <v>77</v>
      </c>
      <c r="D35" s="14"/>
      <c r="E35" s="15"/>
      <c r="F35" s="16"/>
    </row>
    <row r="36" spans="1:6" x14ac:dyDescent="0.2">
      <c r="A36" s="13">
        <v>20</v>
      </c>
      <c r="B36" s="2" t="s">
        <v>78</v>
      </c>
      <c r="C36" s="17"/>
      <c r="D36" s="14"/>
      <c r="E36" s="15"/>
      <c r="F36" s="16"/>
    </row>
    <row r="37" spans="1:6" ht="30" x14ac:dyDescent="0.2">
      <c r="A37" s="13">
        <v>21</v>
      </c>
      <c r="B37" s="2" t="s">
        <v>79</v>
      </c>
      <c r="C37" s="3" t="s">
        <v>80</v>
      </c>
      <c r="D37" s="14"/>
      <c r="E37" s="15"/>
      <c r="F37" s="16"/>
    </row>
    <row r="38" spans="1:6" ht="30" x14ac:dyDescent="0.2">
      <c r="A38" s="13">
        <v>22</v>
      </c>
      <c r="B38" s="2" t="s">
        <v>81</v>
      </c>
      <c r="C38" s="3" t="s">
        <v>82</v>
      </c>
      <c r="D38" s="14"/>
      <c r="E38" s="15"/>
      <c r="F38" s="16"/>
    </row>
    <row r="39" spans="1:6" x14ac:dyDescent="0.2">
      <c r="A39" s="13">
        <v>23</v>
      </c>
      <c r="B39" s="2" t="s">
        <v>83</v>
      </c>
      <c r="C39" s="17"/>
      <c r="D39" s="14"/>
      <c r="E39" s="15"/>
      <c r="F39" s="16"/>
    </row>
    <row r="40" spans="1:6" ht="28" x14ac:dyDescent="0.2">
      <c r="A40" s="13">
        <v>24</v>
      </c>
      <c r="B40" s="2" t="s">
        <v>84</v>
      </c>
      <c r="C40" s="17"/>
      <c r="D40" s="14"/>
      <c r="E40" s="15"/>
      <c r="F40" s="16"/>
    </row>
    <row r="41" spans="1:6" ht="15" customHeight="1" x14ac:dyDescent="0.2">
      <c r="A41" s="34" t="s">
        <v>85</v>
      </c>
      <c r="B41" s="34"/>
      <c r="C41" s="34"/>
      <c r="D41" s="34"/>
      <c r="E41" s="34"/>
      <c r="F41" s="34"/>
    </row>
    <row r="42" spans="1:6" x14ac:dyDescent="0.2">
      <c r="A42" s="19"/>
      <c r="B42" s="20" t="s">
        <v>86</v>
      </c>
      <c r="C42" s="17"/>
      <c r="D42" s="19"/>
      <c r="E42" s="19"/>
      <c r="F42" s="19"/>
    </row>
    <row r="43" spans="1:6" ht="42" x14ac:dyDescent="0.2">
      <c r="A43" s="19"/>
      <c r="B43" s="20" t="s">
        <v>87</v>
      </c>
      <c r="C43" s="17"/>
      <c r="D43" s="19"/>
      <c r="E43" s="19"/>
      <c r="F43" s="19"/>
    </row>
    <row r="44" spans="1:6" ht="28" x14ac:dyDescent="0.2">
      <c r="A44" s="19"/>
      <c r="B44" s="20" t="s">
        <v>88</v>
      </c>
      <c r="C44" s="17"/>
      <c r="D44" s="19"/>
      <c r="E44" s="19"/>
      <c r="F44" s="19"/>
    </row>
    <row r="45" spans="1:6" ht="28" x14ac:dyDescent="0.2">
      <c r="A45" s="19"/>
      <c r="B45" s="20" t="s">
        <v>89</v>
      </c>
      <c r="C45" s="17"/>
      <c r="D45" s="19"/>
      <c r="E45" s="19"/>
      <c r="F45" s="19"/>
    </row>
    <row r="46" spans="1:6" ht="28" x14ac:dyDescent="0.2">
      <c r="A46" s="19"/>
      <c r="B46" s="20" t="s">
        <v>90</v>
      </c>
      <c r="C46" s="17"/>
      <c r="D46" s="19"/>
      <c r="E46" s="19"/>
      <c r="F46" s="19"/>
    </row>
  </sheetData>
  <mergeCells count="7">
    <mergeCell ref="A32:F32"/>
    <mergeCell ref="A41:F41"/>
    <mergeCell ref="A6:F6"/>
    <mergeCell ref="A19:F19"/>
    <mergeCell ref="A22:F22"/>
    <mergeCell ref="A24:F24"/>
    <mergeCell ref="A30:F30"/>
  </mergeCells>
  <conditionalFormatting sqref="A6:F46">
    <cfRule type="expression" dxfId="0" priority="2">
      <formula>$D6="✓"</formula>
    </cfRule>
  </conditionalFormatting>
  <dataValidations count="1">
    <dataValidation type="list" allowBlank="1" error="Pick the tick from the list, or leave it blank." sqref="D33:D40 D20:D21 D23 D31 D7:D18" xr:uid="{00000000-0002-0000-0100-000000000000}">
      <formula1>"✓"</formula1>
      <formula2>0</formula2>
    </dataValidation>
  </dataValidations>
  <hyperlinks>
    <hyperlink ref="G15" r:id="rId1" xr:uid="{44E7CE3C-A21E-E646-8BA2-6AA170A704EA}"/>
  </hyperlink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143"/>
  <sheetViews>
    <sheetView zoomScaleNormal="100" workbookViewId="0">
      <selection activeCell="A6" sqref="A6:A143"/>
    </sheetView>
  </sheetViews>
  <sheetFormatPr baseColWidth="10" defaultColWidth="8.6640625" defaultRowHeight="15" x14ac:dyDescent="0.2"/>
  <cols>
    <col min="1" max="1" width="150" customWidth="1"/>
  </cols>
  <sheetData>
    <row r="1" spans="1:1" ht="18" x14ac:dyDescent="0.2">
      <c r="A1" s="4" t="s">
        <v>91</v>
      </c>
    </row>
    <row r="2" spans="1:1" x14ac:dyDescent="0.2">
      <c r="A2" s="5" t="s">
        <v>92</v>
      </c>
    </row>
    <row r="3" spans="1:1" x14ac:dyDescent="0.2">
      <c r="A3" s="6" t="s">
        <v>93</v>
      </c>
    </row>
    <row r="4" spans="1:1" x14ac:dyDescent="0.2">
      <c r="A4" s="5" t="s">
        <v>94</v>
      </c>
    </row>
    <row r="6" spans="1:1" ht="13.5" customHeight="1" x14ac:dyDescent="0.2">
      <c r="A6" s="35" t="s">
        <v>95</v>
      </c>
    </row>
    <row r="7" spans="1:1" ht="13.5" customHeight="1" x14ac:dyDescent="0.2">
      <c r="A7" s="35"/>
    </row>
    <row r="8" spans="1:1" ht="13.5" customHeight="1" x14ac:dyDescent="0.2">
      <c r="A8" s="35"/>
    </row>
    <row r="9" spans="1:1" ht="13.5" customHeight="1" x14ac:dyDescent="0.2">
      <c r="A9" s="35"/>
    </row>
    <row r="10" spans="1:1" ht="13.5" customHeight="1" x14ac:dyDescent="0.2">
      <c r="A10" s="35"/>
    </row>
    <row r="11" spans="1:1" ht="13.5" customHeight="1" x14ac:dyDescent="0.2">
      <c r="A11" s="35"/>
    </row>
    <row r="12" spans="1:1" ht="13.5" customHeight="1" x14ac:dyDescent="0.2">
      <c r="A12" s="35"/>
    </row>
    <row r="13" spans="1:1" ht="13.5" customHeight="1" x14ac:dyDescent="0.2">
      <c r="A13" s="35"/>
    </row>
    <row r="14" spans="1:1" ht="13.5" customHeight="1" x14ac:dyDescent="0.2">
      <c r="A14" s="35"/>
    </row>
    <row r="15" spans="1:1" ht="13.5" customHeight="1" x14ac:dyDescent="0.2">
      <c r="A15" s="35"/>
    </row>
    <row r="16" spans="1:1" ht="13.5" customHeight="1" x14ac:dyDescent="0.2">
      <c r="A16" s="35"/>
    </row>
    <row r="17" spans="1:1" ht="13.5" customHeight="1" x14ac:dyDescent="0.2">
      <c r="A17" s="35"/>
    </row>
    <row r="18" spans="1:1" ht="13.5" customHeight="1" x14ac:dyDescent="0.2">
      <c r="A18" s="35"/>
    </row>
    <row r="19" spans="1:1" ht="13.5" customHeight="1" x14ac:dyDescent="0.2">
      <c r="A19" s="35"/>
    </row>
    <row r="20" spans="1:1" ht="13.5" customHeight="1" x14ac:dyDescent="0.2">
      <c r="A20" s="35"/>
    </row>
    <row r="21" spans="1:1" ht="13.5" customHeight="1" x14ac:dyDescent="0.2">
      <c r="A21" s="35"/>
    </row>
    <row r="22" spans="1:1" ht="13.5" customHeight="1" x14ac:dyDescent="0.2">
      <c r="A22" s="35"/>
    </row>
    <row r="23" spans="1:1" ht="13.5" customHeight="1" x14ac:dyDescent="0.2">
      <c r="A23" s="35"/>
    </row>
    <row r="24" spans="1:1" ht="13.5" customHeight="1" x14ac:dyDescent="0.2">
      <c r="A24" s="35"/>
    </row>
    <row r="25" spans="1:1" ht="13.5" customHeight="1" x14ac:dyDescent="0.2">
      <c r="A25" s="35"/>
    </row>
    <row r="26" spans="1:1" ht="13.5" customHeight="1" x14ac:dyDescent="0.2">
      <c r="A26" s="35"/>
    </row>
    <row r="27" spans="1:1" ht="13.5" customHeight="1" x14ac:dyDescent="0.2">
      <c r="A27" s="35"/>
    </row>
    <row r="28" spans="1:1" ht="13.5" customHeight="1" x14ac:dyDescent="0.2">
      <c r="A28" s="35"/>
    </row>
    <row r="29" spans="1:1" ht="13.5" customHeight="1" x14ac:dyDescent="0.2">
      <c r="A29" s="35"/>
    </row>
    <row r="30" spans="1:1" ht="13.5" customHeight="1" x14ac:dyDescent="0.2">
      <c r="A30" s="35"/>
    </row>
    <row r="31" spans="1:1" ht="13.5" customHeight="1" x14ac:dyDescent="0.2">
      <c r="A31" s="35"/>
    </row>
    <row r="32" spans="1:1" ht="13.5" customHeight="1" x14ac:dyDescent="0.2">
      <c r="A32" s="35"/>
    </row>
    <row r="33" spans="1:1" ht="13.5" customHeight="1" x14ac:dyDescent="0.2">
      <c r="A33" s="35"/>
    </row>
    <row r="34" spans="1:1" ht="13.5" customHeight="1" x14ac:dyDescent="0.2">
      <c r="A34" s="35"/>
    </row>
    <row r="35" spans="1:1" ht="13.5" customHeight="1" x14ac:dyDescent="0.2">
      <c r="A35" s="35"/>
    </row>
    <row r="36" spans="1:1" ht="13.5" customHeight="1" x14ac:dyDescent="0.2">
      <c r="A36" s="35"/>
    </row>
    <row r="37" spans="1:1" ht="13.5" customHeight="1" x14ac:dyDescent="0.2">
      <c r="A37" s="35"/>
    </row>
    <row r="38" spans="1:1" ht="13.5" customHeight="1" x14ac:dyDescent="0.2">
      <c r="A38" s="35"/>
    </row>
    <row r="39" spans="1:1" ht="13.5" customHeight="1" x14ac:dyDescent="0.2">
      <c r="A39" s="35"/>
    </row>
    <row r="40" spans="1:1" ht="13.5" customHeight="1" x14ac:dyDescent="0.2">
      <c r="A40" s="35"/>
    </row>
    <row r="41" spans="1:1" ht="13.5" customHeight="1" x14ac:dyDescent="0.2">
      <c r="A41" s="35"/>
    </row>
    <row r="42" spans="1:1" ht="13.5" customHeight="1" x14ac:dyDescent="0.2">
      <c r="A42" s="35"/>
    </row>
    <row r="43" spans="1:1" ht="13.5" customHeight="1" x14ac:dyDescent="0.2">
      <c r="A43" s="35"/>
    </row>
    <row r="44" spans="1:1" ht="13.5" customHeight="1" x14ac:dyDescent="0.2">
      <c r="A44" s="35"/>
    </row>
    <row r="45" spans="1:1" ht="13.5" customHeight="1" x14ac:dyDescent="0.2">
      <c r="A45" s="35"/>
    </row>
    <row r="46" spans="1:1" ht="13.5" customHeight="1" x14ac:dyDescent="0.2">
      <c r="A46" s="35"/>
    </row>
    <row r="47" spans="1:1" ht="13.5" customHeight="1" x14ac:dyDescent="0.2">
      <c r="A47" s="35"/>
    </row>
    <row r="48" spans="1:1" ht="13.5" customHeight="1" x14ac:dyDescent="0.2">
      <c r="A48" s="35"/>
    </row>
    <row r="49" spans="1:1" ht="13.5" customHeight="1" x14ac:dyDescent="0.2">
      <c r="A49" s="35"/>
    </row>
    <row r="50" spans="1:1" ht="13.5" customHeight="1" x14ac:dyDescent="0.2">
      <c r="A50" s="35"/>
    </row>
    <row r="51" spans="1:1" ht="13.5" customHeight="1" x14ac:dyDescent="0.2">
      <c r="A51" s="35"/>
    </row>
    <row r="52" spans="1:1" ht="13.5" customHeight="1" x14ac:dyDescent="0.2">
      <c r="A52" s="35"/>
    </row>
    <row r="53" spans="1:1" ht="13.5" customHeight="1" x14ac:dyDescent="0.2">
      <c r="A53" s="35"/>
    </row>
    <row r="54" spans="1:1" ht="13.5" customHeight="1" x14ac:dyDescent="0.2">
      <c r="A54" s="35"/>
    </row>
    <row r="55" spans="1:1" ht="13.5" customHeight="1" x14ac:dyDescent="0.2">
      <c r="A55" s="35"/>
    </row>
    <row r="56" spans="1:1" ht="13.5" customHeight="1" x14ac:dyDescent="0.2">
      <c r="A56" s="35"/>
    </row>
    <row r="57" spans="1:1" ht="13.5" customHeight="1" x14ac:dyDescent="0.2">
      <c r="A57" s="35"/>
    </row>
    <row r="58" spans="1:1" ht="13.5" customHeight="1" x14ac:dyDescent="0.2">
      <c r="A58" s="35"/>
    </row>
    <row r="59" spans="1:1" ht="13.5" customHeight="1" x14ac:dyDescent="0.2">
      <c r="A59" s="35"/>
    </row>
    <row r="60" spans="1:1" ht="13.5" customHeight="1" x14ac:dyDescent="0.2">
      <c r="A60" s="35"/>
    </row>
    <row r="61" spans="1:1" ht="13.5" customHeight="1" x14ac:dyDescent="0.2">
      <c r="A61" s="35"/>
    </row>
    <row r="62" spans="1:1" ht="13.5" customHeight="1" x14ac:dyDescent="0.2">
      <c r="A62" s="35"/>
    </row>
    <row r="63" spans="1:1" ht="13.5" customHeight="1" x14ac:dyDescent="0.2">
      <c r="A63" s="35"/>
    </row>
    <row r="64" spans="1:1" ht="13.5" customHeight="1" x14ac:dyDescent="0.2">
      <c r="A64" s="35"/>
    </row>
    <row r="65" spans="1:1" ht="13.5" customHeight="1" x14ac:dyDescent="0.2">
      <c r="A65" s="35"/>
    </row>
    <row r="66" spans="1:1" ht="13.5" customHeight="1" x14ac:dyDescent="0.2">
      <c r="A66" s="35"/>
    </row>
    <row r="67" spans="1:1" ht="13.5" customHeight="1" x14ac:dyDescent="0.2">
      <c r="A67" s="35"/>
    </row>
    <row r="68" spans="1:1" ht="13.5" customHeight="1" x14ac:dyDescent="0.2">
      <c r="A68" s="35"/>
    </row>
    <row r="69" spans="1:1" ht="13.5" customHeight="1" x14ac:dyDescent="0.2">
      <c r="A69" s="35"/>
    </row>
    <row r="70" spans="1:1" ht="13.5" customHeight="1" x14ac:dyDescent="0.2">
      <c r="A70" s="35"/>
    </row>
    <row r="71" spans="1:1" ht="13.5" customHeight="1" x14ac:dyDescent="0.2">
      <c r="A71" s="35"/>
    </row>
    <row r="72" spans="1:1" ht="13.5" customHeight="1" x14ac:dyDescent="0.2">
      <c r="A72" s="35"/>
    </row>
    <row r="73" spans="1:1" ht="13.5" customHeight="1" x14ac:dyDescent="0.2">
      <c r="A73" s="35"/>
    </row>
    <row r="74" spans="1:1" ht="13.5" customHeight="1" x14ac:dyDescent="0.2">
      <c r="A74" s="35"/>
    </row>
    <row r="75" spans="1:1" ht="13.5" customHeight="1" x14ac:dyDescent="0.2">
      <c r="A75" s="35"/>
    </row>
    <row r="76" spans="1:1" ht="13.5" customHeight="1" x14ac:dyDescent="0.2">
      <c r="A76" s="35"/>
    </row>
    <row r="77" spans="1:1" ht="13.5" customHeight="1" x14ac:dyDescent="0.2">
      <c r="A77" s="35"/>
    </row>
    <row r="78" spans="1:1" ht="13.5" customHeight="1" x14ac:dyDescent="0.2">
      <c r="A78" s="35"/>
    </row>
    <row r="79" spans="1:1" ht="13.5" customHeight="1" x14ac:dyDescent="0.2">
      <c r="A79" s="35"/>
    </row>
    <row r="80" spans="1:1" ht="13.5" customHeight="1" x14ac:dyDescent="0.2">
      <c r="A80" s="35"/>
    </row>
    <row r="81" spans="1:1" ht="13.5" customHeight="1" x14ac:dyDescent="0.2">
      <c r="A81" s="35"/>
    </row>
    <row r="82" spans="1:1" ht="13.5" customHeight="1" x14ac:dyDescent="0.2">
      <c r="A82" s="35"/>
    </row>
    <row r="83" spans="1:1" ht="13.5" customHeight="1" x14ac:dyDescent="0.2">
      <c r="A83" s="35"/>
    </row>
    <row r="84" spans="1:1" ht="13.5" customHeight="1" x14ac:dyDescent="0.2">
      <c r="A84" s="35"/>
    </row>
    <row r="85" spans="1:1" ht="13.5" customHeight="1" x14ac:dyDescent="0.2">
      <c r="A85" s="35"/>
    </row>
    <row r="86" spans="1:1" ht="13.5" customHeight="1" x14ac:dyDescent="0.2">
      <c r="A86" s="35"/>
    </row>
    <row r="87" spans="1:1" ht="13.5" customHeight="1" x14ac:dyDescent="0.2">
      <c r="A87" s="35"/>
    </row>
    <row r="88" spans="1:1" ht="13.5" customHeight="1" x14ac:dyDescent="0.2">
      <c r="A88" s="35"/>
    </row>
    <row r="89" spans="1:1" ht="13.5" customHeight="1" x14ac:dyDescent="0.2">
      <c r="A89" s="35"/>
    </row>
    <row r="90" spans="1:1" ht="13.5" customHeight="1" x14ac:dyDescent="0.2">
      <c r="A90" s="35"/>
    </row>
    <row r="91" spans="1:1" ht="13.5" customHeight="1" x14ac:dyDescent="0.2">
      <c r="A91" s="35"/>
    </row>
    <row r="92" spans="1:1" ht="13.5" customHeight="1" x14ac:dyDescent="0.2">
      <c r="A92" s="35"/>
    </row>
    <row r="93" spans="1:1" ht="13.5" customHeight="1" x14ac:dyDescent="0.2">
      <c r="A93" s="35"/>
    </row>
    <row r="94" spans="1:1" ht="13.5" customHeight="1" x14ac:dyDescent="0.2">
      <c r="A94" s="35"/>
    </row>
    <row r="95" spans="1:1" ht="13.5" customHeight="1" x14ac:dyDescent="0.2">
      <c r="A95" s="35"/>
    </row>
    <row r="96" spans="1:1" ht="13.5" customHeight="1" x14ac:dyDescent="0.2">
      <c r="A96" s="35"/>
    </row>
    <row r="97" spans="1:1" ht="13.5" customHeight="1" x14ac:dyDescent="0.2">
      <c r="A97" s="35"/>
    </row>
    <row r="98" spans="1:1" ht="13.5" customHeight="1" x14ac:dyDescent="0.2">
      <c r="A98" s="35"/>
    </row>
    <row r="99" spans="1:1" ht="13.5" customHeight="1" x14ac:dyDescent="0.2">
      <c r="A99" s="35"/>
    </row>
    <row r="100" spans="1:1" ht="13.5" customHeight="1" x14ac:dyDescent="0.2">
      <c r="A100" s="35"/>
    </row>
    <row r="101" spans="1:1" ht="13.5" customHeight="1" x14ac:dyDescent="0.2">
      <c r="A101" s="35"/>
    </row>
    <row r="102" spans="1:1" ht="13.5" customHeight="1" x14ac:dyDescent="0.2">
      <c r="A102" s="35"/>
    </row>
    <row r="103" spans="1:1" ht="13.5" customHeight="1" x14ac:dyDescent="0.2">
      <c r="A103" s="35"/>
    </row>
    <row r="104" spans="1:1" ht="13.5" customHeight="1" x14ac:dyDescent="0.2">
      <c r="A104" s="35"/>
    </row>
    <row r="105" spans="1:1" ht="13.5" customHeight="1" x14ac:dyDescent="0.2">
      <c r="A105" s="35"/>
    </row>
    <row r="106" spans="1:1" ht="13.5" customHeight="1" x14ac:dyDescent="0.2">
      <c r="A106" s="35"/>
    </row>
    <row r="107" spans="1:1" ht="13.5" customHeight="1" x14ac:dyDescent="0.2">
      <c r="A107" s="35"/>
    </row>
    <row r="108" spans="1:1" ht="13.5" customHeight="1" x14ac:dyDescent="0.2">
      <c r="A108" s="35"/>
    </row>
    <row r="109" spans="1:1" ht="13.5" customHeight="1" x14ac:dyDescent="0.2">
      <c r="A109" s="35"/>
    </row>
    <row r="110" spans="1:1" ht="13.5" customHeight="1" x14ac:dyDescent="0.2">
      <c r="A110" s="35"/>
    </row>
    <row r="111" spans="1:1" ht="13.5" customHeight="1" x14ac:dyDescent="0.2">
      <c r="A111" s="35"/>
    </row>
    <row r="112" spans="1:1" ht="13.5" customHeight="1" x14ac:dyDescent="0.2">
      <c r="A112" s="35"/>
    </row>
    <row r="113" spans="1:1" ht="13.5" customHeight="1" x14ac:dyDescent="0.2">
      <c r="A113" s="35"/>
    </row>
    <row r="114" spans="1:1" ht="13.5" customHeight="1" x14ac:dyDescent="0.2">
      <c r="A114" s="35"/>
    </row>
    <row r="115" spans="1:1" ht="13.5" customHeight="1" x14ac:dyDescent="0.2">
      <c r="A115" s="35"/>
    </row>
    <row r="116" spans="1:1" ht="13.5" customHeight="1" x14ac:dyDescent="0.2">
      <c r="A116" s="35"/>
    </row>
    <row r="117" spans="1:1" ht="13.5" customHeight="1" x14ac:dyDescent="0.2">
      <c r="A117" s="35"/>
    </row>
    <row r="118" spans="1:1" ht="13.5" customHeight="1" x14ac:dyDescent="0.2">
      <c r="A118" s="35"/>
    </row>
    <row r="119" spans="1:1" ht="13.5" customHeight="1" x14ac:dyDescent="0.2">
      <c r="A119" s="35"/>
    </row>
    <row r="120" spans="1:1" ht="13.5" customHeight="1" x14ac:dyDescent="0.2">
      <c r="A120" s="35"/>
    </row>
    <row r="121" spans="1:1" ht="13.5" customHeight="1" x14ac:dyDescent="0.2">
      <c r="A121" s="35"/>
    </row>
    <row r="122" spans="1:1" ht="13.5" customHeight="1" x14ac:dyDescent="0.2">
      <c r="A122" s="35"/>
    </row>
    <row r="123" spans="1:1" ht="13.5" customHeight="1" x14ac:dyDescent="0.2">
      <c r="A123" s="35"/>
    </row>
    <row r="124" spans="1:1" ht="13.5" customHeight="1" x14ac:dyDescent="0.2">
      <c r="A124" s="35"/>
    </row>
    <row r="125" spans="1:1" ht="13.5" customHeight="1" x14ac:dyDescent="0.2">
      <c r="A125" s="35"/>
    </row>
    <row r="126" spans="1:1" ht="13.5" customHeight="1" x14ac:dyDescent="0.2">
      <c r="A126" s="35"/>
    </row>
    <row r="127" spans="1:1" ht="13.5" customHeight="1" x14ac:dyDescent="0.2">
      <c r="A127" s="35"/>
    </row>
    <row r="128" spans="1:1" ht="13.5" customHeight="1" x14ac:dyDescent="0.2">
      <c r="A128" s="35"/>
    </row>
    <row r="129" spans="1:1" ht="13.5" customHeight="1" x14ac:dyDescent="0.2">
      <c r="A129" s="35"/>
    </row>
    <row r="130" spans="1:1" ht="13.5" customHeight="1" x14ac:dyDescent="0.2">
      <c r="A130" s="35"/>
    </row>
    <row r="131" spans="1:1" ht="13.5" customHeight="1" x14ac:dyDescent="0.2">
      <c r="A131" s="35"/>
    </row>
    <row r="132" spans="1:1" ht="13.5" customHeight="1" x14ac:dyDescent="0.2">
      <c r="A132" s="35"/>
    </row>
    <row r="133" spans="1:1" ht="13.5" customHeight="1" x14ac:dyDescent="0.2">
      <c r="A133" s="35"/>
    </row>
    <row r="134" spans="1:1" ht="13.5" customHeight="1" x14ac:dyDescent="0.2">
      <c r="A134" s="35"/>
    </row>
    <row r="135" spans="1:1" ht="13.5" customHeight="1" x14ac:dyDescent="0.2">
      <c r="A135" s="35"/>
    </row>
    <row r="136" spans="1:1" ht="13.5" customHeight="1" x14ac:dyDescent="0.2">
      <c r="A136" s="35"/>
    </row>
    <row r="137" spans="1:1" ht="13.5" customHeight="1" x14ac:dyDescent="0.2">
      <c r="A137" s="35"/>
    </row>
    <row r="138" spans="1:1" ht="13.5" customHeight="1" x14ac:dyDescent="0.2">
      <c r="A138" s="35"/>
    </row>
    <row r="139" spans="1:1" ht="13.5" customHeight="1" x14ac:dyDescent="0.2">
      <c r="A139" s="35"/>
    </row>
    <row r="140" spans="1:1" ht="13.5" customHeight="1" x14ac:dyDescent="0.2">
      <c r="A140" s="35"/>
    </row>
    <row r="141" spans="1:1" ht="13.5" customHeight="1" x14ac:dyDescent="0.2">
      <c r="A141" s="35"/>
    </row>
    <row r="142" spans="1:1" ht="13.5" customHeight="1" x14ac:dyDescent="0.2">
      <c r="A142" s="35"/>
    </row>
    <row r="143" spans="1:1" ht="13.5" customHeight="1" x14ac:dyDescent="0.2">
      <c r="A143" s="35"/>
    </row>
  </sheetData>
  <mergeCells count="1">
    <mergeCell ref="A6:A143"/>
  </mergeCell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101"/>
  <sheetViews>
    <sheetView tabSelected="1" zoomScaleNormal="100" workbookViewId="0">
      <pane ySplit="21" topLeftCell="A22" activePane="bottomLeft" state="frozen"/>
      <selection pane="bottomLeft" activeCell="F40" sqref="F40"/>
    </sheetView>
  </sheetViews>
  <sheetFormatPr baseColWidth="10" defaultColWidth="8.6640625" defaultRowHeight="15" x14ac:dyDescent="0.2"/>
  <cols>
    <col min="1" max="1" width="73" customWidth="1"/>
    <col min="2" max="2" width="10.1640625" bestFit="1" customWidth="1"/>
    <col min="3" max="4" width="5.6640625" bestFit="1" customWidth="1"/>
    <col min="5" max="5" width="6.83203125" bestFit="1" customWidth="1"/>
    <col min="6" max="6" width="66.33203125" customWidth="1"/>
    <col min="7" max="7" width="10" customWidth="1"/>
    <col min="8" max="8" width="3" customWidth="1"/>
    <col min="9" max="9" width="40.33203125" bestFit="1" customWidth="1"/>
    <col min="10" max="12" width="14" customWidth="1"/>
  </cols>
  <sheetData>
    <row r="1" spans="1:12" ht="18" x14ac:dyDescent="0.2">
      <c r="A1" s="4" t="s">
        <v>96</v>
      </c>
    </row>
    <row r="2" spans="1:12" x14ac:dyDescent="0.2">
      <c r="A2" s="5" t="s">
        <v>97</v>
      </c>
    </row>
    <row r="4" spans="1:12" x14ac:dyDescent="0.2">
      <c r="A4" s="6" t="s">
        <v>98</v>
      </c>
      <c r="I4" s="6" t="s">
        <v>99</v>
      </c>
    </row>
    <row r="5" spans="1:12" ht="15" customHeight="1" x14ac:dyDescent="0.2">
      <c r="A5" s="36" t="s">
        <v>100</v>
      </c>
      <c r="B5" s="36"/>
      <c r="C5" s="36"/>
      <c r="D5" s="36" t="s">
        <v>101</v>
      </c>
      <c r="E5" s="36"/>
      <c r="F5" s="36"/>
      <c r="I5" s="2" t="s">
        <v>102</v>
      </c>
      <c r="J5" s="21">
        <f>SUMIF($E$22:$E$101,"Setup",$G$22:$G$101)</f>
        <v>65</v>
      </c>
    </row>
    <row r="6" spans="1:12" ht="15" customHeight="1" x14ac:dyDescent="0.2">
      <c r="A6" s="36" t="s">
        <v>103</v>
      </c>
      <c r="B6" s="36"/>
      <c r="C6" s="36"/>
      <c r="D6" s="36" t="s">
        <v>104</v>
      </c>
      <c r="E6" s="36"/>
      <c r="F6" s="36"/>
      <c r="I6" s="2" t="s">
        <v>105</v>
      </c>
      <c r="J6" s="21">
        <f>SUMIF($E$22:$E$101,"Active",$G$22:$G$101)</f>
        <v>0</v>
      </c>
    </row>
    <row r="7" spans="1:12" ht="15" customHeight="1" x14ac:dyDescent="0.2">
      <c r="A7" s="36" t="s">
        <v>106</v>
      </c>
      <c r="B7" s="36"/>
      <c r="C7" s="36"/>
      <c r="D7" s="37" t="s">
        <v>163</v>
      </c>
      <c r="E7" s="37"/>
      <c r="F7" s="37"/>
      <c r="I7" s="2" t="s">
        <v>107</v>
      </c>
      <c r="J7" s="21">
        <f>SUMIF($E$22:$E$101,"Reviewing",$G$22:$G$101)</f>
        <v>0</v>
      </c>
    </row>
    <row r="8" spans="1:12" ht="15" customHeight="1" x14ac:dyDescent="0.2">
      <c r="A8" s="36" t="s">
        <v>108</v>
      </c>
      <c r="B8" s="36"/>
      <c r="C8" s="36"/>
      <c r="D8" s="37" t="s">
        <v>109</v>
      </c>
      <c r="E8" s="37"/>
      <c r="F8" s="37"/>
      <c r="I8" s="2" t="s">
        <v>110</v>
      </c>
      <c r="J8" s="21">
        <f>SUMIF($E$22:$E$101,"Waiting",$G$22:$G$101)</f>
        <v>14</v>
      </c>
    </row>
    <row r="9" spans="1:12" ht="15" customHeight="1" x14ac:dyDescent="0.2">
      <c r="A9" s="36" t="s">
        <v>111</v>
      </c>
      <c r="B9" s="36"/>
      <c r="C9" s="36"/>
      <c r="D9" s="37" t="s">
        <v>164</v>
      </c>
      <c r="E9" s="37"/>
      <c r="F9" s="37"/>
      <c r="I9" s="2" t="s">
        <v>112</v>
      </c>
      <c r="J9" s="21">
        <f>SUMIF($E$22:$E$101,"Break",$G$22:$G$101)</f>
        <v>0</v>
      </c>
    </row>
    <row r="10" spans="1:12" ht="23.75" customHeight="1" x14ac:dyDescent="0.2">
      <c r="A10" s="36" t="s">
        <v>113</v>
      </c>
      <c r="B10" s="36"/>
      <c r="C10" s="36"/>
      <c r="D10" s="37" t="s">
        <v>166</v>
      </c>
      <c r="E10" s="37"/>
      <c r="F10" s="37"/>
      <c r="I10" s="2" t="s">
        <v>114</v>
      </c>
      <c r="J10" s="22">
        <f>J6+J7+J8</f>
        <v>14</v>
      </c>
    </row>
    <row r="11" spans="1:12" ht="23.75" customHeight="1" x14ac:dyDescent="0.2">
      <c r="A11" s="36" t="s">
        <v>115</v>
      </c>
      <c r="B11" s="36"/>
      <c r="C11" s="36"/>
      <c r="D11" s="37" t="s">
        <v>116</v>
      </c>
      <c r="E11" s="37"/>
      <c r="F11" s="37"/>
      <c r="I11" s="2" t="s">
        <v>117</v>
      </c>
      <c r="J11" s="22">
        <f>J6+J7</f>
        <v>0</v>
      </c>
    </row>
    <row r="12" spans="1:12" ht="15" customHeight="1" x14ac:dyDescent="0.2">
      <c r="A12" s="36" t="s">
        <v>118</v>
      </c>
      <c r="B12" s="36"/>
      <c r="C12" s="36"/>
      <c r="D12" s="37" t="s">
        <v>165</v>
      </c>
      <c r="E12" s="37"/>
      <c r="F12" s="37"/>
      <c r="I12" s="2" t="s">
        <v>119</v>
      </c>
      <c r="J12" s="21" t="str">
        <f>IF(J10=0,"",IF(J10&lt;=360,"Yes","No"))</f>
        <v>Yes</v>
      </c>
    </row>
    <row r="13" spans="1:12" ht="15" customHeight="1" x14ac:dyDescent="0.2">
      <c r="A13" s="36" t="s">
        <v>120</v>
      </c>
      <c r="B13" s="36"/>
      <c r="C13" s="36"/>
      <c r="D13" s="37" t="s">
        <v>167</v>
      </c>
      <c r="E13" s="37"/>
      <c r="F13" s="37"/>
      <c r="I13" s="5" t="s">
        <v>121</v>
      </c>
    </row>
    <row r="14" spans="1:12" ht="23.75" customHeight="1" x14ac:dyDescent="0.2">
      <c r="A14" s="36" t="s">
        <v>122</v>
      </c>
      <c r="B14" s="36"/>
      <c r="C14" s="36"/>
      <c r="D14" s="38" t="s">
        <v>173</v>
      </c>
      <c r="E14" s="37"/>
      <c r="F14" s="37"/>
    </row>
    <row r="15" spans="1:12" ht="15" customHeight="1" x14ac:dyDescent="0.2">
      <c r="A15" s="36" t="s">
        <v>123</v>
      </c>
      <c r="B15" s="36"/>
      <c r="C15" s="36"/>
      <c r="D15" s="39" t="s">
        <v>168</v>
      </c>
      <c r="E15" s="37"/>
      <c r="F15" s="37"/>
      <c r="I15" s="6" t="s">
        <v>124</v>
      </c>
    </row>
    <row r="16" spans="1:12" ht="15" customHeight="1" x14ac:dyDescent="0.2">
      <c r="A16" s="36" t="s">
        <v>125</v>
      </c>
      <c r="B16" s="36"/>
      <c r="C16" s="36"/>
      <c r="D16" s="39" t="s">
        <v>169</v>
      </c>
      <c r="E16" s="37"/>
      <c r="F16" s="37"/>
      <c r="I16" s="23" t="s">
        <v>126</v>
      </c>
      <c r="J16" s="23" t="s">
        <v>127</v>
      </c>
      <c r="K16" s="23" t="s">
        <v>128</v>
      </c>
      <c r="L16" s="23" t="s">
        <v>129</v>
      </c>
    </row>
    <row r="17" spans="1:12" x14ac:dyDescent="0.2">
      <c r="I17" s="24" t="s">
        <v>130</v>
      </c>
      <c r="J17">
        <v>0</v>
      </c>
      <c r="K17" s="25">
        <v>0</v>
      </c>
      <c r="L17" s="25">
        <v>0</v>
      </c>
    </row>
    <row r="18" spans="1:12" x14ac:dyDescent="0.2">
      <c r="I18" s="24" t="s">
        <v>131</v>
      </c>
      <c r="J18" s="25">
        <v>6666353</v>
      </c>
      <c r="K18" s="25">
        <v>6534272</v>
      </c>
      <c r="L18" s="25">
        <v>42060</v>
      </c>
    </row>
    <row r="19" spans="1:12" x14ac:dyDescent="0.2">
      <c r="I19" s="24" t="s">
        <v>132</v>
      </c>
      <c r="J19" s="26">
        <f>IF(OR(J17="",J18=""),"",J18-J17)</f>
        <v>6666353</v>
      </c>
      <c r="K19" s="26">
        <f>IF(OR(K17="",K18=""),"",K18-K17)</f>
        <v>6534272</v>
      </c>
      <c r="L19" s="26">
        <f>IF(OR(L17="",L18=""),"",L18-L17)</f>
        <v>42060</v>
      </c>
    </row>
    <row r="20" spans="1:12" x14ac:dyDescent="0.2">
      <c r="A20" s="5" t="s">
        <v>133</v>
      </c>
    </row>
    <row r="21" spans="1:12" x14ac:dyDescent="0.2">
      <c r="A21" s="8" t="s">
        <v>25</v>
      </c>
      <c r="B21" s="8" t="s">
        <v>134</v>
      </c>
      <c r="C21" s="8" t="s">
        <v>135</v>
      </c>
      <c r="D21" s="8" t="s">
        <v>136</v>
      </c>
      <c r="E21" s="8" t="s">
        <v>137</v>
      </c>
      <c r="F21" s="8" t="s">
        <v>138</v>
      </c>
      <c r="G21" s="8" t="s">
        <v>139</v>
      </c>
    </row>
    <row r="22" spans="1:12" x14ac:dyDescent="0.2">
      <c r="A22" s="13">
        <v>1</v>
      </c>
      <c r="B22" s="27" t="s">
        <v>162</v>
      </c>
      <c r="C22" s="28">
        <v>0.92708333333333337</v>
      </c>
      <c r="D22" s="28">
        <v>0.95833333333333337</v>
      </c>
      <c r="E22" s="29" t="s">
        <v>140</v>
      </c>
      <c r="F22" s="1" t="s">
        <v>141</v>
      </c>
      <c r="G22" s="30">
        <f t="shared" ref="G22:G53" si="0">IFERROR(IF(OR(C22="",D22=""),"",ROUND(MOD(D22-C22,1)*1440,0)),"check")</f>
        <v>45</v>
      </c>
    </row>
    <row r="23" spans="1:12" x14ac:dyDescent="0.2">
      <c r="A23" s="13">
        <v>2</v>
      </c>
      <c r="B23" s="27" t="s">
        <v>162</v>
      </c>
      <c r="C23" s="28">
        <v>0.95833333333333337</v>
      </c>
      <c r="D23" s="28">
        <v>0.97222222222222221</v>
      </c>
      <c r="E23" s="29" t="s">
        <v>140</v>
      </c>
      <c r="F23" s="1" t="s">
        <v>142</v>
      </c>
      <c r="G23" s="30">
        <f t="shared" si="0"/>
        <v>20</v>
      </c>
    </row>
    <row r="24" spans="1:12" x14ac:dyDescent="0.2">
      <c r="A24" s="13">
        <v>3</v>
      </c>
      <c r="B24" s="27" t="s">
        <v>162</v>
      </c>
      <c r="C24" s="28">
        <v>0.99444444444444446</v>
      </c>
      <c r="D24" s="28">
        <v>4.1666666666666666E-3</v>
      </c>
      <c r="E24" s="29" t="s">
        <v>110</v>
      </c>
      <c r="F24" s="1" t="s">
        <v>143</v>
      </c>
      <c r="G24" s="30">
        <f t="shared" si="0"/>
        <v>14</v>
      </c>
    </row>
    <row r="25" spans="1:12" x14ac:dyDescent="0.2">
      <c r="A25" s="13">
        <v>4</v>
      </c>
      <c r="B25" s="27"/>
      <c r="C25" s="28"/>
      <c r="D25" s="28"/>
      <c r="E25" s="29"/>
      <c r="F25" s="1"/>
      <c r="G25" s="30" t="str">
        <f t="shared" si="0"/>
        <v/>
      </c>
    </row>
    <row r="26" spans="1:12" x14ac:dyDescent="0.2">
      <c r="A26" s="13">
        <v>5</v>
      </c>
      <c r="B26" s="27"/>
      <c r="C26" s="28"/>
      <c r="D26" s="28"/>
      <c r="E26" s="29"/>
      <c r="F26" s="1"/>
      <c r="G26" s="30" t="str">
        <f t="shared" si="0"/>
        <v/>
      </c>
    </row>
    <row r="27" spans="1:12" x14ac:dyDescent="0.2">
      <c r="A27" s="13">
        <v>6</v>
      </c>
      <c r="B27" s="27"/>
      <c r="C27" s="28"/>
      <c r="D27" s="28"/>
      <c r="E27" s="29"/>
      <c r="F27" s="1"/>
      <c r="G27" s="30" t="str">
        <f t="shared" si="0"/>
        <v/>
      </c>
    </row>
    <row r="28" spans="1:12" x14ac:dyDescent="0.2">
      <c r="A28" s="13">
        <v>7</v>
      </c>
      <c r="B28" s="27"/>
      <c r="C28" s="28"/>
      <c r="D28" s="28"/>
      <c r="E28" s="29"/>
      <c r="F28" s="1"/>
      <c r="G28" s="30" t="str">
        <f t="shared" si="0"/>
        <v/>
      </c>
    </row>
    <row r="29" spans="1:12" x14ac:dyDescent="0.2">
      <c r="A29" s="13">
        <v>8</v>
      </c>
      <c r="B29" s="27"/>
      <c r="C29" s="28"/>
      <c r="D29" s="28"/>
      <c r="E29" s="29"/>
      <c r="F29" s="1"/>
      <c r="G29" s="30" t="str">
        <f t="shared" si="0"/>
        <v/>
      </c>
    </row>
    <row r="30" spans="1:12" x14ac:dyDescent="0.2">
      <c r="A30" s="13">
        <v>9</v>
      </c>
      <c r="B30" s="27"/>
      <c r="C30" s="28"/>
      <c r="D30" s="28"/>
      <c r="E30" s="29"/>
      <c r="F30" s="1"/>
      <c r="G30" s="30" t="str">
        <f t="shared" si="0"/>
        <v/>
      </c>
    </row>
    <row r="31" spans="1:12" x14ac:dyDescent="0.2">
      <c r="A31" s="13">
        <v>10</v>
      </c>
      <c r="B31" s="27"/>
      <c r="C31" s="28"/>
      <c r="D31" s="28"/>
      <c r="E31" s="29"/>
      <c r="F31" s="1"/>
      <c r="G31" s="30" t="str">
        <f t="shared" si="0"/>
        <v/>
      </c>
    </row>
    <row r="32" spans="1:12" x14ac:dyDescent="0.2">
      <c r="A32" s="13">
        <v>11</v>
      </c>
      <c r="B32" s="27"/>
      <c r="C32" s="28"/>
      <c r="D32" s="28"/>
      <c r="E32" s="29"/>
      <c r="F32" s="1"/>
      <c r="G32" s="30" t="str">
        <f t="shared" si="0"/>
        <v/>
      </c>
    </row>
    <row r="33" spans="1:7" x14ac:dyDescent="0.2">
      <c r="A33" s="13">
        <v>12</v>
      </c>
      <c r="B33" s="27"/>
      <c r="C33" s="28"/>
      <c r="D33" s="28"/>
      <c r="E33" s="29"/>
      <c r="F33" s="1"/>
      <c r="G33" s="30" t="str">
        <f t="shared" si="0"/>
        <v/>
      </c>
    </row>
    <row r="34" spans="1:7" x14ac:dyDescent="0.2">
      <c r="A34" s="13">
        <v>13</v>
      </c>
      <c r="B34" s="27"/>
      <c r="C34" s="28"/>
      <c r="D34" s="28"/>
      <c r="E34" s="29"/>
      <c r="F34" s="1"/>
      <c r="G34" s="30" t="str">
        <f t="shared" si="0"/>
        <v/>
      </c>
    </row>
    <row r="35" spans="1:7" x14ac:dyDescent="0.2">
      <c r="A35" s="13">
        <v>14</v>
      </c>
      <c r="B35" s="27"/>
      <c r="C35" s="28"/>
      <c r="D35" s="28"/>
      <c r="E35" s="29"/>
      <c r="F35" s="1"/>
      <c r="G35" s="30" t="str">
        <f t="shared" si="0"/>
        <v/>
      </c>
    </row>
    <row r="36" spans="1:7" x14ac:dyDescent="0.2">
      <c r="A36" s="13">
        <v>15</v>
      </c>
      <c r="B36" s="27"/>
      <c r="C36" s="28"/>
      <c r="D36" s="28"/>
      <c r="E36" s="29"/>
      <c r="F36" s="1"/>
      <c r="G36" s="30" t="str">
        <f t="shared" si="0"/>
        <v/>
      </c>
    </row>
    <row r="37" spans="1:7" x14ac:dyDescent="0.2">
      <c r="A37" s="13">
        <v>16</v>
      </c>
      <c r="B37" s="27"/>
      <c r="C37" s="28"/>
      <c r="D37" s="28"/>
      <c r="E37" s="29"/>
      <c r="F37" s="1"/>
      <c r="G37" s="30" t="str">
        <f t="shared" si="0"/>
        <v/>
      </c>
    </row>
    <row r="38" spans="1:7" x14ac:dyDescent="0.2">
      <c r="A38" s="13">
        <v>17</v>
      </c>
      <c r="B38" s="27"/>
      <c r="C38" s="28"/>
      <c r="D38" s="28"/>
      <c r="E38" s="29"/>
      <c r="F38" s="1"/>
      <c r="G38" s="30" t="str">
        <f t="shared" si="0"/>
        <v/>
      </c>
    </row>
    <row r="39" spans="1:7" x14ac:dyDescent="0.2">
      <c r="A39" s="13">
        <v>18</v>
      </c>
      <c r="B39" s="27"/>
      <c r="C39" s="28"/>
      <c r="D39" s="28"/>
      <c r="E39" s="29"/>
      <c r="F39" s="1"/>
      <c r="G39" s="30" t="str">
        <f t="shared" si="0"/>
        <v/>
      </c>
    </row>
    <row r="40" spans="1:7" x14ac:dyDescent="0.2">
      <c r="A40" s="13">
        <v>19</v>
      </c>
      <c r="B40" s="27"/>
      <c r="C40" s="28"/>
      <c r="D40" s="28"/>
      <c r="E40" s="29"/>
      <c r="F40" s="1"/>
      <c r="G40" s="30" t="str">
        <f t="shared" si="0"/>
        <v/>
      </c>
    </row>
    <row r="41" spans="1:7" x14ac:dyDescent="0.2">
      <c r="A41" s="13">
        <v>20</v>
      </c>
      <c r="B41" s="27"/>
      <c r="C41" s="28"/>
      <c r="D41" s="28"/>
      <c r="E41" s="29"/>
      <c r="F41" s="1"/>
      <c r="G41" s="30" t="str">
        <f t="shared" si="0"/>
        <v/>
      </c>
    </row>
    <row r="42" spans="1:7" x14ac:dyDescent="0.2">
      <c r="A42" s="13">
        <v>21</v>
      </c>
      <c r="B42" s="27"/>
      <c r="C42" s="28"/>
      <c r="D42" s="28"/>
      <c r="E42" s="29"/>
      <c r="F42" s="1"/>
      <c r="G42" s="30" t="str">
        <f t="shared" si="0"/>
        <v/>
      </c>
    </row>
    <row r="43" spans="1:7" x14ac:dyDescent="0.2">
      <c r="A43" s="13">
        <v>22</v>
      </c>
      <c r="B43" s="27"/>
      <c r="C43" s="28"/>
      <c r="D43" s="28"/>
      <c r="E43" s="29"/>
      <c r="F43" s="1"/>
      <c r="G43" s="30" t="str">
        <f t="shared" si="0"/>
        <v/>
      </c>
    </row>
    <row r="44" spans="1:7" x14ac:dyDescent="0.2">
      <c r="A44" s="13">
        <v>23</v>
      </c>
      <c r="B44" s="27"/>
      <c r="C44" s="28"/>
      <c r="D44" s="28"/>
      <c r="E44" s="29"/>
      <c r="F44" s="1"/>
      <c r="G44" s="30" t="str">
        <f t="shared" si="0"/>
        <v/>
      </c>
    </row>
    <row r="45" spans="1:7" x14ac:dyDescent="0.2">
      <c r="A45" s="13">
        <v>24</v>
      </c>
      <c r="B45" s="27"/>
      <c r="C45" s="28"/>
      <c r="D45" s="28"/>
      <c r="E45" s="29"/>
      <c r="F45" s="1"/>
      <c r="G45" s="30" t="str">
        <f t="shared" si="0"/>
        <v/>
      </c>
    </row>
    <row r="46" spans="1:7" x14ac:dyDescent="0.2">
      <c r="A46" s="13">
        <v>25</v>
      </c>
      <c r="B46" s="27"/>
      <c r="C46" s="28"/>
      <c r="D46" s="28"/>
      <c r="E46" s="29"/>
      <c r="F46" s="1"/>
      <c r="G46" s="30" t="str">
        <f t="shared" si="0"/>
        <v/>
      </c>
    </row>
    <row r="47" spans="1:7" x14ac:dyDescent="0.2">
      <c r="A47" s="13">
        <v>26</v>
      </c>
      <c r="B47" s="27"/>
      <c r="C47" s="28"/>
      <c r="D47" s="28"/>
      <c r="E47" s="29"/>
      <c r="F47" s="1"/>
      <c r="G47" s="30" t="str">
        <f t="shared" si="0"/>
        <v/>
      </c>
    </row>
    <row r="48" spans="1:7" x14ac:dyDescent="0.2">
      <c r="A48" s="13">
        <v>27</v>
      </c>
      <c r="B48" s="27"/>
      <c r="C48" s="28"/>
      <c r="D48" s="28"/>
      <c r="E48" s="29"/>
      <c r="F48" s="1"/>
      <c r="G48" s="30" t="str">
        <f t="shared" si="0"/>
        <v/>
      </c>
    </row>
    <row r="49" spans="1:7" x14ac:dyDescent="0.2">
      <c r="A49" s="13">
        <v>28</v>
      </c>
      <c r="B49" s="27"/>
      <c r="C49" s="28"/>
      <c r="D49" s="28"/>
      <c r="E49" s="29"/>
      <c r="F49" s="1"/>
      <c r="G49" s="30" t="str">
        <f t="shared" si="0"/>
        <v/>
      </c>
    </row>
    <row r="50" spans="1:7" x14ac:dyDescent="0.2">
      <c r="A50" s="13">
        <v>29</v>
      </c>
      <c r="B50" s="27"/>
      <c r="C50" s="28"/>
      <c r="D50" s="28"/>
      <c r="E50" s="29"/>
      <c r="F50" s="1"/>
      <c r="G50" s="30" t="str">
        <f t="shared" si="0"/>
        <v/>
      </c>
    </row>
    <row r="51" spans="1:7" x14ac:dyDescent="0.2">
      <c r="A51" s="13">
        <v>30</v>
      </c>
      <c r="B51" s="27"/>
      <c r="C51" s="28"/>
      <c r="D51" s="28"/>
      <c r="E51" s="29"/>
      <c r="F51" s="1"/>
      <c r="G51" s="30" t="str">
        <f t="shared" si="0"/>
        <v/>
      </c>
    </row>
    <row r="52" spans="1:7" x14ac:dyDescent="0.2">
      <c r="A52" s="13">
        <v>31</v>
      </c>
      <c r="B52" s="27"/>
      <c r="C52" s="28"/>
      <c r="D52" s="28"/>
      <c r="E52" s="29"/>
      <c r="F52" s="1"/>
      <c r="G52" s="30" t="str">
        <f t="shared" si="0"/>
        <v/>
      </c>
    </row>
    <row r="53" spans="1:7" x14ac:dyDescent="0.2">
      <c r="A53" s="13">
        <v>32</v>
      </c>
      <c r="B53" s="27"/>
      <c r="C53" s="28"/>
      <c r="D53" s="28"/>
      <c r="E53" s="29"/>
      <c r="F53" s="1"/>
      <c r="G53" s="30" t="str">
        <f t="shared" si="0"/>
        <v/>
      </c>
    </row>
    <row r="54" spans="1:7" x14ac:dyDescent="0.2">
      <c r="A54" s="13">
        <v>33</v>
      </c>
      <c r="B54" s="27"/>
      <c r="C54" s="28"/>
      <c r="D54" s="28"/>
      <c r="E54" s="29"/>
      <c r="F54" s="1"/>
      <c r="G54" s="30" t="str">
        <f t="shared" ref="G54:G85" si="1">IFERROR(IF(OR(C54="",D54=""),"",ROUND(MOD(D54-C54,1)*1440,0)),"check")</f>
        <v/>
      </c>
    </row>
    <row r="55" spans="1:7" x14ac:dyDescent="0.2">
      <c r="A55" s="13">
        <v>34</v>
      </c>
      <c r="B55" s="27"/>
      <c r="C55" s="28"/>
      <c r="D55" s="28"/>
      <c r="E55" s="29"/>
      <c r="F55" s="1"/>
      <c r="G55" s="30" t="str">
        <f t="shared" si="1"/>
        <v/>
      </c>
    </row>
    <row r="56" spans="1:7" x14ac:dyDescent="0.2">
      <c r="A56" s="13">
        <v>35</v>
      </c>
      <c r="B56" s="27"/>
      <c r="C56" s="28"/>
      <c r="D56" s="28"/>
      <c r="E56" s="29"/>
      <c r="F56" s="1"/>
      <c r="G56" s="30" t="str">
        <f t="shared" si="1"/>
        <v/>
      </c>
    </row>
    <row r="57" spans="1:7" x14ac:dyDescent="0.2">
      <c r="A57" s="13">
        <v>36</v>
      </c>
      <c r="B57" s="27"/>
      <c r="C57" s="28"/>
      <c r="D57" s="28"/>
      <c r="E57" s="29"/>
      <c r="F57" s="1"/>
      <c r="G57" s="30" t="str">
        <f t="shared" si="1"/>
        <v/>
      </c>
    </row>
    <row r="58" spans="1:7" x14ac:dyDescent="0.2">
      <c r="A58" s="13">
        <v>37</v>
      </c>
      <c r="B58" s="27"/>
      <c r="C58" s="28"/>
      <c r="D58" s="28"/>
      <c r="E58" s="29"/>
      <c r="F58" s="1"/>
      <c r="G58" s="30" t="str">
        <f t="shared" si="1"/>
        <v/>
      </c>
    </row>
    <row r="59" spans="1:7" x14ac:dyDescent="0.2">
      <c r="A59" s="13">
        <v>38</v>
      </c>
      <c r="B59" s="27"/>
      <c r="C59" s="28"/>
      <c r="D59" s="28"/>
      <c r="E59" s="29"/>
      <c r="F59" s="1"/>
      <c r="G59" s="30" t="str">
        <f t="shared" si="1"/>
        <v/>
      </c>
    </row>
    <row r="60" spans="1:7" x14ac:dyDescent="0.2">
      <c r="A60" s="13">
        <v>39</v>
      </c>
      <c r="B60" s="27"/>
      <c r="C60" s="28"/>
      <c r="D60" s="28"/>
      <c r="E60" s="29"/>
      <c r="F60" s="1"/>
      <c r="G60" s="30" t="str">
        <f t="shared" si="1"/>
        <v/>
      </c>
    </row>
    <row r="61" spans="1:7" x14ac:dyDescent="0.2">
      <c r="A61" s="13">
        <v>40</v>
      </c>
      <c r="B61" s="27"/>
      <c r="C61" s="28"/>
      <c r="D61" s="28"/>
      <c r="E61" s="29"/>
      <c r="F61" s="1"/>
      <c r="G61" s="30" t="str">
        <f t="shared" si="1"/>
        <v/>
      </c>
    </row>
    <row r="62" spans="1:7" x14ac:dyDescent="0.2">
      <c r="A62" s="13">
        <v>41</v>
      </c>
      <c r="B62" s="27"/>
      <c r="C62" s="28"/>
      <c r="D62" s="28"/>
      <c r="E62" s="29"/>
      <c r="F62" s="1"/>
      <c r="G62" s="30" t="str">
        <f t="shared" si="1"/>
        <v/>
      </c>
    </row>
    <row r="63" spans="1:7" x14ac:dyDescent="0.2">
      <c r="A63" s="13">
        <v>42</v>
      </c>
      <c r="B63" s="27"/>
      <c r="C63" s="28"/>
      <c r="D63" s="28"/>
      <c r="E63" s="29"/>
      <c r="F63" s="1"/>
      <c r="G63" s="30" t="str">
        <f t="shared" si="1"/>
        <v/>
      </c>
    </row>
    <row r="64" spans="1:7" x14ac:dyDescent="0.2">
      <c r="A64" s="13">
        <v>43</v>
      </c>
      <c r="B64" s="27"/>
      <c r="C64" s="28"/>
      <c r="D64" s="28"/>
      <c r="E64" s="29"/>
      <c r="F64" s="1"/>
      <c r="G64" s="30" t="str">
        <f t="shared" si="1"/>
        <v/>
      </c>
    </row>
    <row r="65" spans="1:7" x14ac:dyDescent="0.2">
      <c r="A65" s="13">
        <v>44</v>
      </c>
      <c r="B65" s="27"/>
      <c r="C65" s="28"/>
      <c r="D65" s="28"/>
      <c r="E65" s="29"/>
      <c r="F65" s="1"/>
      <c r="G65" s="30" t="str">
        <f t="shared" si="1"/>
        <v/>
      </c>
    </row>
    <row r="66" spans="1:7" x14ac:dyDescent="0.2">
      <c r="A66" s="13">
        <v>45</v>
      </c>
      <c r="B66" s="27"/>
      <c r="C66" s="28"/>
      <c r="D66" s="28"/>
      <c r="E66" s="29"/>
      <c r="F66" s="1"/>
      <c r="G66" s="30" t="str">
        <f t="shared" si="1"/>
        <v/>
      </c>
    </row>
    <row r="67" spans="1:7" x14ac:dyDescent="0.2">
      <c r="A67" s="13">
        <v>46</v>
      </c>
      <c r="B67" s="27"/>
      <c r="C67" s="28"/>
      <c r="D67" s="28"/>
      <c r="E67" s="29"/>
      <c r="F67" s="1"/>
      <c r="G67" s="30" t="str">
        <f t="shared" si="1"/>
        <v/>
      </c>
    </row>
    <row r="68" spans="1:7" x14ac:dyDescent="0.2">
      <c r="A68" s="13">
        <v>47</v>
      </c>
      <c r="B68" s="27"/>
      <c r="C68" s="28"/>
      <c r="D68" s="28"/>
      <c r="E68" s="29"/>
      <c r="F68" s="1"/>
      <c r="G68" s="30" t="str">
        <f t="shared" si="1"/>
        <v/>
      </c>
    </row>
    <row r="69" spans="1:7" x14ac:dyDescent="0.2">
      <c r="A69" s="13">
        <v>48</v>
      </c>
      <c r="B69" s="27"/>
      <c r="C69" s="28"/>
      <c r="D69" s="28"/>
      <c r="E69" s="29"/>
      <c r="F69" s="1"/>
      <c r="G69" s="30" t="str">
        <f t="shared" si="1"/>
        <v/>
      </c>
    </row>
    <row r="70" spans="1:7" x14ac:dyDescent="0.2">
      <c r="A70" s="13">
        <v>49</v>
      </c>
      <c r="B70" s="27"/>
      <c r="C70" s="28"/>
      <c r="D70" s="28"/>
      <c r="E70" s="29"/>
      <c r="F70" s="1"/>
      <c r="G70" s="30" t="str">
        <f t="shared" si="1"/>
        <v/>
      </c>
    </row>
    <row r="71" spans="1:7" x14ac:dyDescent="0.2">
      <c r="A71" s="13">
        <v>50</v>
      </c>
      <c r="B71" s="27"/>
      <c r="C71" s="28"/>
      <c r="D71" s="28"/>
      <c r="E71" s="29"/>
      <c r="F71" s="1"/>
      <c r="G71" s="30" t="str">
        <f t="shared" si="1"/>
        <v/>
      </c>
    </row>
    <row r="72" spans="1:7" x14ac:dyDescent="0.2">
      <c r="A72" s="13">
        <v>51</v>
      </c>
      <c r="B72" s="27"/>
      <c r="C72" s="28"/>
      <c r="D72" s="28"/>
      <c r="E72" s="29"/>
      <c r="F72" s="1"/>
      <c r="G72" s="30" t="str">
        <f t="shared" si="1"/>
        <v/>
      </c>
    </row>
    <row r="73" spans="1:7" x14ac:dyDescent="0.2">
      <c r="A73" s="13">
        <v>52</v>
      </c>
      <c r="B73" s="27"/>
      <c r="C73" s="28"/>
      <c r="D73" s="28"/>
      <c r="E73" s="29"/>
      <c r="F73" s="1"/>
      <c r="G73" s="30" t="str">
        <f t="shared" si="1"/>
        <v/>
      </c>
    </row>
    <row r="74" spans="1:7" x14ac:dyDescent="0.2">
      <c r="A74" s="13">
        <v>53</v>
      </c>
      <c r="B74" s="27"/>
      <c r="C74" s="28"/>
      <c r="D74" s="28"/>
      <c r="E74" s="29"/>
      <c r="F74" s="1"/>
      <c r="G74" s="30" t="str">
        <f t="shared" si="1"/>
        <v/>
      </c>
    </row>
    <row r="75" spans="1:7" x14ac:dyDescent="0.2">
      <c r="A75" s="13">
        <v>54</v>
      </c>
      <c r="B75" s="27"/>
      <c r="C75" s="28"/>
      <c r="D75" s="28"/>
      <c r="E75" s="29"/>
      <c r="F75" s="1"/>
      <c r="G75" s="30" t="str">
        <f t="shared" si="1"/>
        <v/>
      </c>
    </row>
    <row r="76" spans="1:7" x14ac:dyDescent="0.2">
      <c r="A76" s="13">
        <v>55</v>
      </c>
      <c r="B76" s="27"/>
      <c r="C76" s="28"/>
      <c r="D76" s="28"/>
      <c r="E76" s="29"/>
      <c r="F76" s="1"/>
      <c r="G76" s="30" t="str">
        <f t="shared" si="1"/>
        <v/>
      </c>
    </row>
    <row r="77" spans="1:7" x14ac:dyDescent="0.2">
      <c r="A77" s="13">
        <v>56</v>
      </c>
      <c r="B77" s="27"/>
      <c r="C77" s="28"/>
      <c r="D77" s="28"/>
      <c r="E77" s="29"/>
      <c r="F77" s="1"/>
      <c r="G77" s="30" t="str">
        <f t="shared" si="1"/>
        <v/>
      </c>
    </row>
    <row r="78" spans="1:7" x14ac:dyDescent="0.2">
      <c r="A78" s="13">
        <v>57</v>
      </c>
      <c r="B78" s="27"/>
      <c r="C78" s="28"/>
      <c r="D78" s="28"/>
      <c r="E78" s="29"/>
      <c r="F78" s="1"/>
      <c r="G78" s="30" t="str">
        <f t="shared" si="1"/>
        <v/>
      </c>
    </row>
    <row r="79" spans="1:7" x14ac:dyDescent="0.2">
      <c r="A79" s="13">
        <v>58</v>
      </c>
      <c r="B79" s="27"/>
      <c r="C79" s="28"/>
      <c r="D79" s="28"/>
      <c r="E79" s="29"/>
      <c r="F79" s="1"/>
      <c r="G79" s="30" t="str">
        <f t="shared" si="1"/>
        <v/>
      </c>
    </row>
    <row r="80" spans="1:7" x14ac:dyDescent="0.2">
      <c r="A80" s="13">
        <v>59</v>
      </c>
      <c r="B80" s="27"/>
      <c r="C80" s="28"/>
      <c r="D80" s="28"/>
      <c r="E80" s="29"/>
      <c r="F80" s="1"/>
      <c r="G80" s="30" t="str">
        <f t="shared" si="1"/>
        <v/>
      </c>
    </row>
    <row r="81" spans="1:7" x14ac:dyDescent="0.2">
      <c r="A81" s="13">
        <v>60</v>
      </c>
      <c r="B81" s="27"/>
      <c r="C81" s="28"/>
      <c r="D81" s="28"/>
      <c r="E81" s="29"/>
      <c r="F81" s="1"/>
      <c r="G81" s="30" t="str">
        <f t="shared" si="1"/>
        <v/>
      </c>
    </row>
    <row r="82" spans="1:7" x14ac:dyDescent="0.2">
      <c r="A82" s="13">
        <v>61</v>
      </c>
      <c r="B82" s="27"/>
      <c r="C82" s="28"/>
      <c r="D82" s="28"/>
      <c r="E82" s="29"/>
      <c r="F82" s="1"/>
      <c r="G82" s="30" t="str">
        <f t="shared" si="1"/>
        <v/>
      </c>
    </row>
    <row r="83" spans="1:7" x14ac:dyDescent="0.2">
      <c r="A83" s="13">
        <v>62</v>
      </c>
      <c r="B83" s="27"/>
      <c r="C83" s="28"/>
      <c r="D83" s="28"/>
      <c r="E83" s="29"/>
      <c r="F83" s="1"/>
      <c r="G83" s="30" t="str">
        <f t="shared" si="1"/>
        <v/>
      </c>
    </row>
    <row r="84" spans="1:7" x14ac:dyDescent="0.2">
      <c r="A84" s="13">
        <v>63</v>
      </c>
      <c r="B84" s="27"/>
      <c r="C84" s="28"/>
      <c r="D84" s="28"/>
      <c r="E84" s="29"/>
      <c r="F84" s="1"/>
      <c r="G84" s="30" t="str">
        <f t="shared" si="1"/>
        <v/>
      </c>
    </row>
    <row r="85" spans="1:7" x14ac:dyDescent="0.2">
      <c r="A85" s="13">
        <v>64</v>
      </c>
      <c r="B85" s="27"/>
      <c r="C85" s="28"/>
      <c r="D85" s="28"/>
      <c r="E85" s="29"/>
      <c r="F85" s="1"/>
      <c r="G85" s="30" t="str">
        <f t="shared" si="1"/>
        <v/>
      </c>
    </row>
    <row r="86" spans="1:7" x14ac:dyDescent="0.2">
      <c r="A86" s="13">
        <v>65</v>
      </c>
      <c r="B86" s="27"/>
      <c r="C86" s="28"/>
      <c r="D86" s="28"/>
      <c r="E86" s="29"/>
      <c r="F86" s="1"/>
      <c r="G86" s="30" t="str">
        <f t="shared" ref="G86:G101" si="2">IFERROR(IF(OR(C86="",D86=""),"",ROUND(MOD(D86-C86,1)*1440,0)),"check")</f>
        <v/>
      </c>
    </row>
    <row r="87" spans="1:7" x14ac:dyDescent="0.2">
      <c r="A87" s="13">
        <v>66</v>
      </c>
      <c r="B87" s="27"/>
      <c r="C87" s="28"/>
      <c r="D87" s="28"/>
      <c r="E87" s="29"/>
      <c r="F87" s="1"/>
      <c r="G87" s="30" t="str">
        <f t="shared" si="2"/>
        <v/>
      </c>
    </row>
    <row r="88" spans="1:7" x14ac:dyDescent="0.2">
      <c r="A88" s="13">
        <v>67</v>
      </c>
      <c r="B88" s="27"/>
      <c r="C88" s="28"/>
      <c r="D88" s="28"/>
      <c r="E88" s="29"/>
      <c r="F88" s="1"/>
      <c r="G88" s="30" t="str">
        <f t="shared" si="2"/>
        <v/>
      </c>
    </row>
    <row r="89" spans="1:7" x14ac:dyDescent="0.2">
      <c r="A89" s="13">
        <v>68</v>
      </c>
      <c r="B89" s="27"/>
      <c r="C89" s="28"/>
      <c r="D89" s="28"/>
      <c r="E89" s="29"/>
      <c r="F89" s="1"/>
      <c r="G89" s="30" t="str">
        <f t="shared" si="2"/>
        <v/>
      </c>
    </row>
    <row r="90" spans="1:7" x14ac:dyDescent="0.2">
      <c r="A90" s="13">
        <v>69</v>
      </c>
      <c r="B90" s="27"/>
      <c r="C90" s="28"/>
      <c r="D90" s="28"/>
      <c r="E90" s="29"/>
      <c r="F90" s="1"/>
      <c r="G90" s="30" t="str">
        <f t="shared" si="2"/>
        <v/>
      </c>
    </row>
    <row r="91" spans="1:7" x14ac:dyDescent="0.2">
      <c r="A91" s="13">
        <v>70</v>
      </c>
      <c r="B91" s="27"/>
      <c r="C91" s="28"/>
      <c r="D91" s="28"/>
      <c r="E91" s="29"/>
      <c r="F91" s="1"/>
      <c r="G91" s="30" t="str">
        <f t="shared" si="2"/>
        <v/>
      </c>
    </row>
    <row r="92" spans="1:7" x14ac:dyDescent="0.2">
      <c r="A92" s="13">
        <v>71</v>
      </c>
      <c r="B92" s="27"/>
      <c r="C92" s="28"/>
      <c r="D92" s="28"/>
      <c r="E92" s="29"/>
      <c r="F92" s="1"/>
      <c r="G92" s="30" t="str">
        <f t="shared" si="2"/>
        <v/>
      </c>
    </row>
    <row r="93" spans="1:7" x14ac:dyDescent="0.2">
      <c r="A93" s="13">
        <v>72</v>
      </c>
      <c r="B93" s="27"/>
      <c r="C93" s="28"/>
      <c r="D93" s="28"/>
      <c r="E93" s="29"/>
      <c r="F93" s="1"/>
      <c r="G93" s="30" t="str">
        <f t="shared" si="2"/>
        <v/>
      </c>
    </row>
    <row r="94" spans="1:7" x14ac:dyDescent="0.2">
      <c r="A94" s="13">
        <v>73</v>
      </c>
      <c r="B94" s="27"/>
      <c r="C94" s="28"/>
      <c r="D94" s="28"/>
      <c r="E94" s="29"/>
      <c r="F94" s="1"/>
      <c r="G94" s="30" t="str">
        <f t="shared" si="2"/>
        <v/>
      </c>
    </row>
    <row r="95" spans="1:7" x14ac:dyDescent="0.2">
      <c r="A95" s="13">
        <v>74</v>
      </c>
      <c r="B95" s="27"/>
      <c r="C95" s="28"/>
      <c r="D95" s="28"/>
      <c r="E95" s="29"/>
      <c r="F95" s="1"/>
      <c r="G95" s="30" t="str">
        <f t="shared" si="2"/>
        <v/>
      </c>
    </row>
    <row r="96" spans="1:7" x14ac:dyDescent="0.2">
      <c r="A96" s="13">
        <v>75</v>
      </c>
      <c r="B96" s="27"/>
      <c r="C96" s="28"/>
      <c r="D96" s="28"/>
      <c r="E96" s="29"/>
      <c r="F96" s="1"/>
      <c r="G96" s="30" t="str">
        <f t="shared" si="2"/>
        <v/>
      </c>
    </row>
    <row r="97" spans="1:7" x14ac:dyDescent="0.2">
      <c r="A97" s="13">
        <v>76</v>
      </c>
      <c r="B97" s="27"/>
      <c r="C97" s="28"/>
      <c r="D97" s="28"/>
      <c r="E97" s="29"/>
      <c r="F97" s="1"/>
      <c r="G97" s="30" t="str">
        <f t="shared" si="2"/>
        <v/>
      </c>
    </row>
    <row r="98" spans="1:7" x14ac:dyDescent="0.2">
      <c r="A98" s="13">
        <v>77</v>
      </c>
      <c r="B98" s="27"/>
      <c r="C98" s="28"/>
      <c r="D98" s="28"/>
      <c r="E98" s="29"/>
      <c r="F98" s="1"/>
      <c r="G98" s="30" t="str">
        <f t="shared" si="2"/>
        <v/>
      </c>
    </row>
    <row r="99" spans="1:7" x14ac:dyDescent="0.2">
      <c r="A99" s="13">
        <v>78</v>
      </c>
      <c r="B99" s="27"/>
      <c r="C99" s="28"/>
      <c r="D99" s="28"/>
      <c r="E99" s="29"/>
      <c r="F99" s="1"/>
      <c r="G99" s="30" t="str">
        <f t="shared" si="2"/>
        <v/>
      </c>
    </row>
    <row r="100" spans="1:7" x14ac:dyDescent="0.2">
      <c r="A100" s="13">
        <v>79</v>
      </c>
      <c r="B100" s="27"/>
      <c r="C100" s="28"/>
      <c r="D100" s="28"/>
      <c r="E100" s="29"/>
      <c r="F100" s="1"/>
      <c r="G100" s="30" t="str">
        <f t="shared" si="2"/>
        <v/>
      </c>
    </row>
    <row r="101" spans="1:7" x14ac:dyDescent="0.2">
      <c r="A101" s="13">
        <v>80</v>
      </c>
      <c r="B101" s="27"/>
      <c r="C101" s="28"/>
      <c r="D101" s="28"/>
      <c r="E101" s="29"/>
      <c r="F101" s="1"/>
      <c r="G101" s="30" t="str">
        <f t="shared" si="2"/>
        <v/>
      </c>
    </row>
  </sheetData>
  <mergeCells count="24">
    <mergeCell ref="A14:C14"/>
    <mergeCell ref="D14:F14"/>
    <mergeCell ref="A15:C15"/>
    <mergeCell ref="D15:F15"/>
    <mergeCell ref="A16:C16"/>
    <mergeCell ref="D16:F16"/>
    <mergeCell ref="A11:C11"/>
    <mergeCell ref="D11:F11"/>
    <mergeCell ref="A12:C12"/>
    <mergeCell ref="D12:F12"/>
    <mergeCell ref="A13:C13"/>
    <mergeCell ref="D13:F13"/>
    <mergeCell ref="A8:C8"/>
    <mergeCell ref="D8:F8"/>
    <mergeCell ref="A9:C9"/>
    <mergeCell ref="D9:F9"/>
    <mergeCell ref="A10:C10"/>
    <mergeCell ref="D10:F10"/>
    <mergeCell ref="A5:C5"/>
    <mergeCell ref="D5:F5"/>
    <mergeCell ref="A6:C6"/>
    <mergeCell ref="D6:F6"/>
    <mergeCell ref="A7:C7"/>
    <mergeCell ref="D7:F7"/>
  </mergeCells>
  <dataValidations count="1">
    <dataValidation type="list" allowBlank="1" error="Pick Setup, Active, Reviewing, Waiting or Break." sqref="E22:E101" xr:uid="{00000000-0002-0000-0300-000000000000}">
      <formula1>"Setup,Active,Reviewing,Waiting,Break"</formula1>
      <formula2>0</formula2>
    </dataValidation>
  </dataValidations>
  <hyperlinks>
    <hyperlink ref="D15" r:id="rId1" xr:uid="{6FDC3684-C6AF-FA4B-A7B2-32954D8DC17C}"/>
    <hyperlink ref="D16" r:id="rId2" xr:uid="{CB1F098B-1F09-4047-8AA9-BDF08367B154}"/>
  </hyperlink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64"/>
  <sheetViews>
    <sheetView zoomScaleNormal="100" workbookViewId="0">
      <pane ySplit="4" topLeftCell="A5" activePane="bottomLeft" state="frozen"/>
      <selection pane="bottomLeft" activeCell="E5" sqref="E5"/>
    </sheetView>
  </sheetViews>
  <sheetFormatPr baseColWidth="10" defaultColWidth="8.6640625" defaultRowHeight="15" x14ac:dyDescent="0.2"/>
  <cols>
    <col min="1" max="1" width="5" customWidth="1"/>
    <col min="2" max="2" width="10" customWidth="1"/>
    <col min="3" max="3" width="24" customWidth="1"/>
    <col min="4" max="4" width="80" customWidth="1"/>
    <col min="5" max="5" width="40" customWidth="1"/>
  </cols>
  <sheetData>
    <row r="1" spans="1:5" ht="18" x14ac:dyDescent="0.2">
      <c r="A1" s="4" t="s">
        <v>144</v>
      </c>
    </row>
    <row r="2" spans="1:5" x14ac:dyDescent="0.2">
      <c r="A2" s="5" t="s">
        <v>145</v>
      </c>
    </row>
    <row r="4" spans="1:5" x14ac:dyDescent="0.2">
      <c r="A4" s="8" t="s">
        <v>25</v>
      </c>
      <c r="B4" s="8" t="s">
        <v>29</v>
      </c>
      <c r="C4" s="8" t="s">
        <v>146</v>
      </c>
      <c r="D4" s="8" t="s">
        <v>147</v>
      </c>
      <c r="E4" s="8" t="s">
        <v>148</v>
      </c>
    </row>
    <row r="5" spans="1:5" ht="46" customHeight="1" x14ac:dyDescent="0.2">
      <c r="A5" s="13">
        <v>1</v>
      </c>
      <c r="B5" s="31">
        <v>0.99444444444444446</v>
      </c>
      <c r="C5" s="1" t="s">
        <v>149</v>
      </c>
      <c r="D5" s="1" t="s">
        <v>95</v>
      </c>
      <c r="E5" s="33" t="s">
        <v>170</v>
      </c>
    </row>
    <row r="6" spans="1:5" x14ac:dyDescent="0.2">
      <c r="A6" s="13">
        <v>2</v>
      </c>
      <c r="B6" s="31"/>
      <c r="C6" s="1"/>
      <c r="D6" s="1"/>
      <c r="E6" s="1"/>
    </row>
    <row r="7" spans="1:5" x14ac:dyDescent="0.2">
      <c r="A7" s="13">
        <v>3</v>
      </c>
      <c r="B7" s="31"/>
      <c r="C7" s="1"/>
      <c r="D7" s="1"/>
      <c r="E7" s="1"/>
    </row>
    <row r="8" spans="1:5" x14ac:dyDescent="0.2">
      <c r="A8" s="13">
        <v>4</v>
      </c>
      <c r="B8" s="31"/>
      <c r="C8" s="1"/>
      <c r="D8" s="1"/>
      <c r="E8" s="1"/>
    </row>
    <row r="9" spans="1:5" x14ac:dyDescent="0.2">
      <c r="A9" s="13">
        <v>5</v>
      </c>
      <c r="B9" s="31"/>
      <c r="C9" s="1"/>
      <c r="D9" s="1"/>
      <c r="E9" s="1"/>
    </row>
    <row r="10" spans="1:5" x14ac:dyDescent="0.2">
      <c r="A10" s="13">
        <v>6</v>
      </c>
      <c r="B10" s="31"/>
      <c r="C10" s="1"/>
      <c r="D10" s="1"/>
      <c r="E10" s="1"/>
    </row>
    <row r="11" spans="1:5" x14ac:dyDescent="0.2">
      <c r="A11" s="13">
        <v>7</v>
      </c>
      <c r="B11" s="31"/>
      <c r="C11" s="1"/>
      <c r="D11" s="1"/>
      <c r="E11" s="1"/>
    </row>
    <row r="12" spans="1:5" x14ac:dyDescent="0.2">
      <c r="A12" s="13">
        <v>8</v>
      </c>
      <c r="B12" s="31"/>
      <c r="C12" s="1"/>
      <c r="D12" s="1"/>
      <c r="E12" s="1"/>
    </row>
    <row r="13" spans="1:5" x14ac:dyDescent="0.2">
      <c r="A13" s="13">
        <v>9</v>
      </c>
      <c r="B13" s="31"/>
      <c r="C13" s="1"/>
      <c r="D13" s="1"/>
      <c r="E13" s="1"/>
    </row>
    <row r="14" spans="1:5" x14ac:dyDescent="0.2">
      <c r="A14" s="13">
        <v>10</v>
      </c>
      <c r="B14" s="31"/>
      <c r="C14" s="1"/>
      <c r="D14" s="1"/>
      <c r="E14" s="1"/>
    </row>
    <row r="15" spans="1:5" x14ac:dyDescent="0.2">
      <c r="A15" s="13">
        <v>11</v>
      </c>
      <c r="B15" s="31"/>
      <c r="C15" s="1"/>
      <c r="D15" s="1"/>
      <c r="E15" s="1"/>
    </row>
    <row r="16" spans="1:5" x14ac:dyDescent="0.2">
      <c r="A16" s="13">
        <v>12</v>
      </c>
      <c r="B16" s="31"/>
      <c r="C16" s="1"/>
      <c r="D16" s="1"/>
      <c r="E16" s="1"/>
    </row>
    <row r="17" spans="1:5" x14ac:dyDescent="0.2">
      <c r="A17" s="13">
        <v>13</v>
      </c>
      <c r="B17" s="31"/>
      <c r="C17" s="1"/>
      <c r="D17" s="1"/>
      <c r="E17" s="1"/>
    </row>
    <row r="18" spans="1:5" x14ac:dyDescent="0.2">
      <c r="A18" s="13">
        <v>14</v>
      </c>
      <c r="B18" s="31"/>
      <c r="C18" s="1"/>
      <c r="D18" s="1"/>
      <c r="E18" s="1"/>
    </row>
    <row r="19" spans="1:5" x14ac:dyDescent="0.2">
      <c r="A19" s="13">
        <v>15</v>
      </c>
      <c r="B19" s="31"/>
      <c r="C19" s="1"/>
      <c r="D19" s="1"/>
      <c r="E19" s="1"/>
    </row>
    <row r="20" spans="1:5" x14ac:dyDescent="0.2">
      <c r="A20" s="13">
        <v>16</v>
      </c>
      <c r="B20" s="31"/>
      <c r="C20" s="1"/>
      <c r="D20" s="1"/>
      <c r="E20" s="1"/>
    </row>
    <row r="21" spans="1:5" x14ac:dyDescent="0.2">
      <c r="A21" s="13">
        <v>17</v>
      </c>
      <c r="B21" s="31"/>
      <c r="C21" s="1"/>
      <c r="D21" s="1"/>
      <c r="E21" s="1"/>
    </row>
    <row r="22" spans="1:5" x14ac:dyDescent="0.2">
      <c r="A22" s="13">
        <v>18</v>
      </c>
      <c r="B22" s="31"/>
      <c r="C22" s="1"/>
      <c r="D22" s="1"/>
      <c r="E22" s="1"/>
    </row>
    <row r="23" spans="1:5" x14ac:dyDescent="0.2">
      <c r="A23" s="13">
        <v>19</v>
      </c>
      <c r="B23" s="31"/>
      <c r="C23" s="1"/>
      <c r="D23" s="1"/>
      <c r="E23" s="1"/>
    </row>
    <row r="24" spans="1:5" x14ac:dyDescent="0.2">
      <c r="A24" s="13">
        <v>20</v>
      </c>
      <c r="B24" s="31"/>
      <c r="C24" s="1"/>
      <c r="D24" s="1"/>
      <c r="E24" s="1"/>
    </row>
    <row r="25" spans="1:5" x14ac:dyDescent="0.2">
      <c r="A25" s="13">
        <v>21</v>
      </c>
      <c r="B25" s="31"/>
      <c r="C25" s="1"/>
      <c r="D25" s="1"/>
      <c r="E25" s="1"/>
    </row>
    <row r="26" spans="1:5" x14ac:dyDescent="0.2">
      <c r="A26" s="13">
        <v>22</v>
      </c>
      <c r="B26" s="31"/>
      <c r="C26" s="1"/>
      <c r="D26" s="1"/>
      <c r="E26" s="1"/>
    </row>
    <row r="27" spans="1:5" x14ac:dyDescent="0.2">
      <c r="A27" s="13">
        <v>23</v>
      </c>
      <c r="B27" s="31"/>
      <c r="C27" s="1"/>
      <c r="D27" s="1"/>
      <c r="E27" s="1"/>
    </row>
    <row r="28" spans="1:5" x14ac:dyDescent="0.2">
      <c r="A28" s="13">
        <v>24</v>
      </c>
      <c r="B28" s="31"/>
      <c r="C28" s="1"/>
      <c r="D28" s="1"/>
      <c r="E28" s="1"/>
    </row>
    <row r="29" spans="1:5" x14ac:dyDescent="0.2">
      <c r="A29" s="13">
        <v>25</v>
      </c>
      <c r="B29" s="31"/>
      <c r="C29" s="1"/>
      <c r="D29" s="1"/>
      <c r="E29" s="1"/>
    </row>
    <row r="30" spans="1:5" x14ac:dyDescent="0.2">
      <c r="A30" s="13">
        <v>26</v>
      </c>
      <c r="B30" s="31"/>
      <c r="C30" s="1"/>
      <c r="D30" s="1"/>
      <c r="E30" s="1"/>
    </row>
    <row r="31" spans="1:5" x14ac:dyDescent="0.2">
      <c r="A31" s="13">
        <v>27</v>
      </c>
      <c r="B31" s="31"/>
      <c r="C31" s="1"/>
      <c r="D31" s="1"/>
      <c r="E31" s="1"/>
    </row>
    <row r="32" spans="1:5" x14ac:dyDescent="0.2">
      <c r="A32" s="13">
        <v>28</v>
      </c>
      <c r="B32" s="31"/>
      <c r="C32" s="1"/>
      <c r="D32" s="1"/>
      <c r="E32" s="1"/>
    </row>
    <row r="33" spans="1:5" x14ac:dyDescent="0.2">
      <c r="A33" s="13">
        <v>29</v>
      </c>
      <c r="B33" s="31"/>
      <c r="C33" s="1"/>
      <c r="D33" s="1"/>
      <c r="E33" s="1"/>
    </row>
    <row r="34" spans="1:5" x14ac:dyDescent="0.2">
      <c r="A34" s="13">
        <v>30</v>
      </c>
      <c r="B34" s="31"/>
      <c r="C34" s="1"/>
      <c r="D34" s="1"/>
      <c r="E34" s="1"/>
    </row>
    <row r="35" spans="1:5" x14ac:dyDescent="0.2">
      <c r="A35" s="13">
        <v>31</v>
      </c>
      <c r="B35" s="31"/>
      <c r="C35" s="1"/>
      <c r="D35" s="1"/>
      <c r="E35" s="1"/>
    </row>
    <row r="36" spans="1:5" x14ac:dyDescent="0.2">
      <c r="A36" s="13">
        <v>32</v>
      </c>
      <c r="B36" s="31"/>
      <c r="C36" s="1"/>
      <c r="D36" s="1"/>
      <c r="E36" s="1"/>
    </row>
    <row r="37" spans="1:5" x14ac:dyDescent="0.2">
      <c r="A37" s="13">
        <v>33</v>
      </c>
      <c r="B37" s="31"/>
      <c r="C37" s="1"/>
      <c r="D37" s="1"/>
      <c r="E37" s="1"/>
    </row>
    <row r="38" spans="1:5" x14ac:dyDescent="0.2">
      <c r="A38" s="13">
        <v>34</v>
      </c>
      <c r="B38" s="31"/>
      <c r="C38" s="1"/>
      <c r="D38" s="1"/>
      <c r="E38" s="1"/>
    </row>
    <row r="39" spans="1:5" x14ac:dyDescent="0.2">
      <c r="A39" s="13">
        <v>35</v>
      </c>
      <c r="B39" s="31"/>
      <c r="C39" s="1"/>
      <c r="D39" s="1"/>
      <c r="E39" s="1"/>
    </row>
    <row r="40" spans="1:5" x14ac:dyDescent="0.2">
      <c r="A40" s="13">
        <v>36</v>
      </c>
      <c r="B40" s="31"/>
      <c r="C40" s="1"/>
      <c r="D40" s="1"/>
      <c r="E40" s="1"/>
    </row>
    <row r="41" spans="1:5" x14ac:dyDescent="0.2">
      <c r="A41" s="13">
        <v>37</v>
      </c>
      <c r="B41" s="31"/>
      <c r="C41" s="1"/>
      <c r="D41" s="1"/>
      <c r="E41" s="1"/>
    </row>
    <row r="42" spans="1:5" x14ac:dyDescent="0.2">
      <c r="A42" s="13">
        <v>38</v>
      </c>
      <c r="B42" s="31"/>
      <c r="C42" s="1"/>
      <c r="D42" s="1"/>
      <c r="E42" s="1"/>
    </row>
    <row r="43" spans="1:5" x14ac:dyDescent="0.2">
      <c r="A43" s="13">
        <v>39</v>
      </c>
      <c r="B43" s="31"/>
      <c r="C43" s="1"/>
      <c r="D43" s="1"/>
      <c r="E43" s="1"/>
    </row>
    <row r="44" spans="1:5" x14ac:dyDescent="0.2">
      <c r="A44" s="13">
        <v>40</v>
      </c>
      <c r="B44" s="31"/>
      <c r="C44" s="1"/>
      <c r="D44" s="1"/>
      <c r="E44" s="1"/>
    </row>
    <row r="45" spans="1:5" x14ac:dyDescent="0.2">
      <c r="A45" s="13">
        <v>41</v>
      </c>
      <c r="B45" s="31"/>
      <c r="C45" s="1"/>
      <c r="D45" s="1"/>
      <c r="E45" s="1"/>
    </row>
    <row r="46" spans="1:5" x14ac:dyDescent="0.2">
      <c r="A46" s="13">
        <v>42</v>
      </c>
      <c r="B46" s="31"/>
      <c r="C46" s="1"/>
      <c r="D46" s="1"/>
      <c r="E46" s="1"/>
    </row>
    <row r="47" spans="1:5" x14ac:dyDescent="0.2">
      <c r="A47" s="13">
        <v>43</v>
      </c>
      <c r="B47" s="31"/>
      <c r="C47" s="1"/>
      <c r="D47" s="1"/>
      <c r="E47" s="1"/>
    </row>
    <row r="48" spans="1:5" x14ac:dyDescent="0.2">
      <c r="A48" s="13">
        <v>44</v>
      </c>
      <c r="B48" s="31"/>
      <c r="C48" s="1"/>
      <c r="D48" s="1"/>
      <c r="E48" s="1"/>
    </row>
    <row r="49" spans="1:5" x14ac:dyDescent="0.2">
      <c r="A49" s="13">
        <v>45</v>
      </c>
      <c r="B49" s="31"/>
      <c r="C49" s="1"/>
      <c r="D49" s="1"/>
      <c r="E49" s="1"/>
    </row>
    <row r="50" spans="1:5" x14ac:dyDescent="0.2">
      <c r="A50" s="13">
        <v>46</v>
      </c>
      <c r="B50" s="31"/>
      <c r="C50" s="1"/>
      <c r="D50" s="1"/>
      <c r="E50" s="1"/>
    </row>
    <row r="51" spans="1:5" x14ac:dyDescent="0.2">
      <c r="A51" s="13">
        <v>47</v>
      </c>
      <c r="B51" s="31"/>
      <c r="C51" s="1"/>
      <c r="D51" s="1"/>
      <c r="E51" s="1"/>
    </row>
    <row r="52" spans="1:5" x14ac:dyDescent="0.2">
      <c r="A52" s="13">
        <v>48</v>
      </c>
      <c r="B52" s="31"/>
      <c r="C52" s="1"/>
      <c r="D52" s="1"/>
      <c r="E52" s="1"/>
    </row>
    <row r="53" spans="1:5" x14ac:dyDescent="0.2">
      <c r="A53" s="13">
        <v>49</v>
      </c>
      <c r="B53" s="31"/>
      <c r="C53" s="1"/>
      <c r="D53" s="1"/>
      <c r="E53" s="1"/>
    </row>
    <row r="54" spans="1:5" x14ac:dyDescent="0.2">
      <c r="A54" s="13">
        <v>50</v>
      </c>
      <c r="B54" s="31"/>
      <c r="C54" s="1"/>
      <c r="D54" s="1"/>
      <c r="E54" s="1"/>
    </row>
    <row r="55" spans="1:5" x14ac:dyDescent="0.2">
      <c r="A55" s="13">
        <v>51</v>
      </c>
      <c r="B55" s="31"/>
      <c r="C55" s="1"/>
      <c r="D55" s="1"/>
      <c r="E55" s="1"/>
    </row>
    <row r="56" spans="1:5" x14ac:dyDescent="0.2">
      <c r="A56" s="13">
        <v>52</v>
      </c>
      <c r="B56" s="31"/>
      <c r="C56" s="1"/>
      <c r="D56" s="1"/>
      <c r="E56" s="1"/>
    </row>
    <row r="57" spans="1:5" x14ac:dyDescent="0.2">
      <c r="A57" s="13">
        <v>53</v>
      </c>
      <c r="B57" s="31"/>
      <c r="C57" s="1"/>
      <c r="D57" s="1"/>
      <c r="E57" s="1"/>
    </row>
    <row r="58" spans="1:5" x14ac:dyDescent="0.2">
      <c r="A58" s="13">
        <v>54</v>
      </c>
      <c r="B58" s="31"/>
      <c r="C58" s="1"/>
      <c r="D58" s="1"/>
      <c r="E58" s="1"/>
    </row>
    <row r="59" spans="1:5" x14ac:dyDescent="0.2">
      <c r="A59" s="13">
        <v>55</v>
      </c>
      <c r="B59" s="31"/>
      <c r="C59" s="1"/>
      <c r="D59" s="1"/>
      <c r="E59" s="1"/>
    </row>
    <row r="60" spans="1:5" x14ac:dyDescent="0.2">
      <c r="A60" s="13">
        <v>56</v>
      </c>
      <c r="B60" s="31"/>
      <c r="C60" s="1"/>
      <c r="D60" s="1"/>
      <c r="E60" s="1"/>
    </row>
    <row r="61" spans="1:5" x14ac:dyDescent="0.2">
      <c r="A61" s="13">
        <v>57</v>
      </c>
      <c r="B61" s="31"/>
      <c r="C61" s="1"/>
      <c r="D61" s="1"/>
      <c r="E61" s="1"/>
    </row>
    <row r="62" spans="1:5" x14ac:dyDescent="0.2">
      <c r="A62" s="13">
        <v>58</v>
      </c>
      <c r="B62" s="31"/>
      <c r="C62" s="1"/>
      <c r="D62" s="1"/>
      <c r="E62" s="1"/>
    </row>
    <row r="63" spans="1:5" x14ac:dyDescent="0.2">
      <c r="A63" s="13">
        <v>59</v>
      </c>
      <c r="B63" s="31"/>
      <c r="C63" s="1"/>
      <c r="D63" s="1"/>
      <c r="E63" s="1"/>
    </row>
    <row r="64" spans="1:5" x14ac:dyDescent="0.2">
      <c r="A64" s="13">
        <v>60</v>
      </c>
      <c r="B64" s="31"/>
      <c r="C64" s="1"/>
      <c r="D64" s="1"/>
      <c r="E64" s="1"/>
    </row>
  </sheetData>
  <hyperlinks>
    <hyperlink ref="E5" r:id="rId1" xr:uid="{42909C13-CD58-9041-934C-67872612EB0D}"/>
  </hyperlink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48"/>
  <sheetViews>
    <sheetView zoomScaleNormal="100" workbookViewId="0"/>
  </sheetViews>
  <sheetFormatPr baseColWidth="10" defaultColWidth="8.6640625" defaultRowHeight="15" x14ac:dyDescent="0.2"/>
  <cols>
    <col min="1" max="1" width="10" customWidth="1"/>
    <col min="2" max="2" width="34" customWidth="1"/>
    <col min="3" max="3" width="70" customWidth="1"/>
  </cols>
  <sheetData>
    <row r="1" spans="1:3" ht="18" x14ac:dyDescent="0.2">
      <c r="A1" s="4" t="s">
        <v>150</v>
      </c>
    </row>
    <row r="3" spans="1:3" x14ac:dyDescent="0.2">
      <c r="A3" s="6" t="s">
        <v>151</v>
      </c>
    </row>
    <row r="4" spans="1:3" x14ac:dyDescent="0.2">
      <c r="A4" s="5" t="s">
        <v>152</v>
      </c>
    </row>
    <row r="5" spans="1:3" x14ac:dyDescent="0.2">
      <c r="A5" s="23" t="s">
        <v>29</v>
      </c>
      <c r="B5" s="23" t="s">
        <v>153</v>
      </c>
      <c r="C5" s="23" t="s">
        <v>154</v>
      </c>
    </row>
    <row r="6" spans="1:3" x14ac:dyDescent="0.2">
      <c r="A6" s="31"/>
      <c r="B6" s="1"/>
      <c r="C6" s="1"/>
    </row>
    <row r="7" spans="1:3" x14ac:dyDescent="0.2">
      <c r="A7" s="31"/>
      <c r="B7" s="1"/>
      <c r="C7" s="1"/>
    </row>
    <row r="8" spans="1:3" x14ac:dyDescent="0.2">
      <c r="A8" s="31"/>
      <c r="B8" s="1"/>
      <c r="C8" s="1"/>
    </row>
    <row r="9" spans="1:3" x14ac:dyDescent="0.2">
      <c r="A9" s="31"/>
      <c r="B9" s="1"/>
      <c r="C9" s="1"/>
    </row>
    <row r="10" spans="1:3" x14ac:dyDescent="0.2">
      <c r="A10" s="31"/>
      <c r="B10" s="1"/>
      <c r="C10" s="1"/>
    </row>
    <row r="11" spans="1:3" x14ac:dyDescent="0.2">
      <c r="A11" s="31"/>
      <c r="B11" s="1"/>
      <c r="C11" s="1"/>
    </row>
    <row r="12" spans="1:3" x14ac:dyDescent="0.2">
      <c r="A12" s="31"/>
      <c r="B12" s="1"/>
      <c r="C12" s="1"/>
    </row>
    <row r="13" spans="1:3" x14ac:dyDescent="0.2">
      <c r="A13" s="31"/>
      <c r="B13" s="1"/>
      <c r="C13" s="1"/>
    </row>
    <row r="14" spans="1:3" x14ac:dyDescent="0.2">
      <c r="A14" s="31"/>
      <c r="B14" s="1"/>
      <c r="C14" s="1"/>
    </row>
    <row r="15" spans="1:3" x14ac:dyDescent="0.2">
      <c r="A15" s="31"/>
      <c r="B15" s="1"/>
      <c r="C15" s="1"/>
    </row>
    <row r="16" spans="1:3" x14ac:dyDescent="0.2">
      <c r="A16" s="31"/>
      <c r="B16" s="1"/>
      <c r="C16" s="1"/>
    </row>
    <row r="17" spans="1:3" x14ac:dyDescent="0.2">
      <c r="A17" s="31"/>
      <c r="B17" s="1"/>
      <c r="C17" s="1"/>
    </row>
    <row r="18" spans="1:3" x14ac:dyDescent="0.2">
      <c r="A18" s="31"/>
      <c r="B18" s="1"/>
      <c r="C18" s="1"/>
    </row>
    <row r="19" spans="1:3" x14ac:dyDescent="0.2">
      <c r="A19" s="31"/>
      <c r="B19" s="1"/>
      <c r="C19" s="1"/>
    </row>
    <row r="20" spans="1:3" x14ac:dyDescent="0.2">
      <c r="A20" s="31"/>
      <c r="B20" s="1"/>
      <c r="C20" s="1"/>
    </row>
    <row r="21" spans="1:3" x14ac:dyDescent="0.2">
      <c r="A21" s="31"/>
      <c r="B21" s="1"/>
      <c r="C21" s="1"/>
    </row>
    <row r="22" spans="1:3" x14ac:dyDescent="0.2">
      <c r="A22" s="31"/>
      <c r="B22" s="1"/>
      <c r="C22" s="1"/>
    </row>
    <row r="23" spans="1:3" x14ac:dyDescent="0.2">
      <c r="A23" s="31"/>
      <c r="B23" s="1"/>
      <c r="C23" s="1"/>
    </row>
    <row r="24" spans="1:3" x14ac:dyDescent="0.2">
      <c r="A24" s="31"/>
      <c r="B24" s="1"/>
      <c r="C24" s="1"/>
    </row>
    <row r="25" spans="1:3" x14ac:dyDescent="0.2">
      <c r="A25" s="31"/>
      <c r="B25" s="1"/>
      <c r="C25" s="1"/>
    </row>
    <row r="26" spans="1:3" x14ac:dyDescent="0.2">
      <c r="A26" s="31"/>
      <c r="B26" s="1"/>
      <c r="C26" s="1"/>
    </row>
    <row r="27" spans="1:3" x14ac:dyDescent="0.2">
      <c r="A27" s="31"/>
      <c r="B27" s="1"/>
      <c r="C27" s="1"/>
    </row>
    <row r="28" spans="1:3" x14ac:dyDescent="0.2">
      <c r="A28" s="31"/>
      <c r="B28" s="1"/>
      <c r="C28" s="1"/>
    </row>
    <row r="29" spans="1:3" x14ac:dyDescent="0.2">
      <c r="A29" s="31"/>
      <c r="B29" s="1"/>
      <c r="C29" s="1"/>
    </row>
    <row r="30" spans="1:3" x14ac:dyDescent="0.2">
      <c r="A30" s="31"/>
      <c r="B30" s="1"/>
      <c r="C30" s="1"/>
    </row>
    <row r="32" spans="1:3" x14ac:dyDescent="0.2">
      <c r="A32" s="6" t="s">
        <v>155</v>
      </c>
    </row>
    <row r="33" spans="1:3" x14ac:dyDescent="0.2">
      <c r="A33" s="5" t="s">
        <v>156</v>
      </c>
    </row>
    <row r="34" spans="1:3" x14ac:dyDescent="0.2">
      <c r="A34" s="23" t="s">
        <v>29</v>
      </c>
      <c r="B34" s="23" t="s">
        <v>138</v>
      </c>
      <c r="C34" s="23" t="s">
        <v>157</v>
      </c>
    </row>
    <row r="35" spans="1:3" x14ac:dyDescent="0.2">
      <c r="A35" s="31"/>
      <c r="B35" s="1"/>
      <c r="C35" s="1"/>
    </row>
    <row r="36" spans="1:3" x14ac:dyDescent="0.2">
      <c r="A36" s="31"/>
      <c r="B36" s="1"/>
      <c r="C36" s="1"/>
    </row>
    <row r="37" spans="1:3" x14ac:dyDescent="0.2">
      <c r="A37" s="31"/>
      <c r="B37" s="1"/>
      <c r="C37" s="1"/>
    </row>
    <row r="38" spans="1:3" x14ac:dyDescent="0.2">
      <c r="A38" s="31"/>
      <c r="B38" s="1"/>
      <c r="C38" s="1"/>
    </row>
    <row r="39" spans="1:3" x14ac:dyDescent="0.2">
      <c r="A39" s="31"/>
      <c r="B39" s="1"/>
      <c r="C39" s="1"/>
    </row>
    <row r="41" spans="1:3" x14ac:dyDescent="0.2">
      <c r="A41" s="6" t="s">
        <v>158</v>
      </c>
    </row>
    <row r="42" spans="1:3" x14ac:dyDescent="0.2">
      <c r="A42" s="5" t="s">
        <v>159</v>
      </c>
    </row>
    <row r="43" spans="1:3" x14ac:dyDescent="0.2">
      <c r="A43" s="23" t="s">
        <v>29</v>
      </c>
      <c r="B43" s="23" t="s">
        <v>160</v>
      </c>
      <c r="C43" s="23" t="s">
        <v>161</v>
      </c>
    </row>
    <row r="44" spans="1:3" x14ac:dyDescent="0.2">
      <c r="A44" s="31"/>
      <c r="B44" s="1"/>
      <c r="C44" s="1"/>
    </row>
    <row r="45" spans="1:3" x14ac:dyDescent="0.2">
      <c r="A45" s="31"/>
      <c r="B45" s="1"/>
      <c r="C45" s="1"/>
    </row>
    <row r="46" spans="1:3" x14ac:dyDescent="0.2">
      <c r="A46" s="31"/>
      <c r="B46" s="1"/>
      <c r="C46" s="1"/>
    </row>
    <row r="47" spans="1:3" x14ac:dyDescent="0.2">
      <c r="A47" s="31"/>
      <c r="B47" s="1"/>
      <c r="C47" s="1"/>
    </row>
    <row r="48" spans="1:3" x14ac:dyDescent="0.2">
      <c r="A48" s="31"/>
      <c r="B48" s="1"/>
      <c r="C48" s="1"/>
    </row>
  </sheetData>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How to use</vt:lpstr>
      <vt:lpstr>Steps</vt:lpstr>
      <vt:lpstr>Prompt 1</vt:lpstr>
      <vt:lpstr>Log</vt:lpstr>
      <vt:lpstr>Prompts sent</vt:lpstr>
      <vt:lpstr>Events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Ahmed Falulur Rahuman</cp:lastModifiedBy>
  <cp:revision>0</cp:revision>
  <dcterms:created xsi:type="dcterms:W3CDTF">2026-10-17T09:45:44Z</dcterms:created>
  <dcterms:modified xsi:type="dcterms:W3CDTF">2026-10-17T13:29:49Z</dcterms:modified>
  <cp:category/>
  <cp:contentStatus/>
</cp:coreProperties>
</file>